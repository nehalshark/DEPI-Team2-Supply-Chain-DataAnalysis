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a\OneDrive\Desktop\Supply_Chain\"/>
    </mc:Choice>
  </mc:AlternateContent>
  <xr:revisionPtr revIDLastSave="0" documentId="13_ncr:1_{CB1DFE1D-436C-4096-9893-EE1F69AB5386}" xr6:coauthVersionLast="47" xr6:coauthVersionMax="47" xr10:uidLastSave="{00000000-0000-0000-0000-000000000000}"/>
  <bookViews>
    <workbookView xWindow="-120" yWindow="-120" windowWidth="20730" windowHeight="11160" xr2:uid="{63E11043-E87E-4650-82F0-FB825695D817}"/>
  </bookViews>
  <sheets>
    <sheet name="Sheet1" sheetId="1" r:id="rId1"/>
  </sheets>
  <definedNames>
    <definedName name="ExternalData_1" localSheetId="0" hidden="1">Sheet1!$A$1:$AE$101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B5" i="1"/>
  <c r="AB9" i="1"/>
  <c r="AB13" i="1"/>
  <c r="AB17" i="1"/>
  <c r="AB21" i="1"/>
  <c r="AB25" i="1"/>
  <c r="AB29" i="1"/>
  <c r="AB33" i="1"/>
  <c r="AB37" i="1"/>
  <c r="AB41" i="1"/>
  <c r="AB45" i="1"/>
  <c r="AB49" i="1"/>
  <c r="AB53" i="1"/>
  <c r="AB57" i="1"/>
  <c r="AB61" i="1"/>
  <c r="AB65" i="1"/>
  <c r="AB69" i="1"/>
  <c r="AB73" i="1"/>
  <c r="AB77" i="1"/>
  <c r="AB81" i="1"/>
  <c r="AB85" i="1"/>
  <c r="AB89" i="1"/>
  <c r="AB93" i="1"/>
  <c r="AB97" i="1"/>
  <c r="AB101" i="1"/>
  <c r="AA2" i="1"/>
  <c r="AC2" i="1" s="1"/>
  <c r="AB2" i="1" s="1"/>
  <c r="AA3" i="1"/>
  <c r="AC3" i="1" s="1"/>
  <c r="AB3" i="1" s="1"/>
  <c r="AA4" i="1"/>
  <c r="AC4" i="1" s="1"/>
  <c r="AB4" i="1" s="1"/>
  <c r="AA5" i="1"/>
  <c r="AC5" i="1" s="1"/>
  <c r="AA6" i="1"/>
  <c r="AC6" i="1" s="1"/>
  <c r="AB6" i="1" s="1"/>
  <c r="AA7" i="1"/>
  <c r="AC7" i="1" s="1"/>
  <c r="AB7" i="1" s="1"/>
  <c r="AA8" i="1"/>
  <c r="AC8" i="1" s="1"/>
  <c r="AB8" i="1" s="1"/>
  <c r="AA9" i="1"/>
  <c r="AC9" i="1" s="1"/>
  <c r="AA10" i="1"/>
  <c r="AC10" i="1" s="1"/>
  <c r="AB10" i="1" s="1"/>
  <c r="AA11" i="1"/>
  <c r="AC11" i="1" s="1"/>
  <c r="AB11" i="1" s="1"/>
  <c r="AA12" i="1"/>
  <c r="AC12" i="1" s="1"/>
  <c r="AB12" i="1" s="1"/>
  <c r="AA13" i="1"/>
  <c r="AC13" i="1" s="1"/>
  <c r="AA14" i="1"/>
  <c r="AC14" i="1" s="1"/>
  <c r="AB14" i="1" s="1"/>
  <c r="AA15" i="1"/>
  <c r="AC15" i="1" s="1"/>
  <c r="AB15" i="1" s="1"/>
  <c r="AA16" i="1"/>
  <c r="AC16" i="1" s="1"/>
  <c r="AB16" i="1" s="1"/>
  <c r="AA17" i="1"/>
  <c r="AC17" i="1" s="1"/>
  <c r="AA18" i="1"/>
  <c r="AC18" i="1" s="1"/>
  <c r="AB18" i="1" s="1"/>
  <c r="AA19" i="1"/>
  <c r="AC19" i="1" s="1"/>
  <c r="AB19" i="1" s="1"/>
  <c r="AA20" i="1"/>
  <c r="AC20" i="1" s="1"/>
  <c r="AB20" i="1" s="1"/>
  <c r="AA21" i="1"/>
  <c r="AC21" i="1" s="1"/>
  <c r="AA22" i="1"/>
  <c r="AC22" i="1" s="1"/>
  <c r="AB22" i="1" s="1"/>
  <c r="AA23" i="1"/>
  <c r="AC23" i="1" s="1"/>
  <c r="AB23" i="1" s="1"/>
  <c r="AA24" i="1"/>
  <c r="AC24" i="1" s="1"/>
  <c r="AB24" i="1" s="1"/>
  <c r="AA25" i="1"/>
  <c r="AC25" i="1" s="1"/>
  <c r="AA26" i="1"/>
  <c r="AC26" i="1" s="1"/>
  <c r="AB26" i="1" s="1"/>
  <c r="AA27" i="1"/>
  <c r="AC27" i="1" s="1"/>
  <c r="AB27" i="1" s="1"/>
  <c r="AA28" i="1"/>
  <c r="AC28" i="1" s="1"/>
  <c r="AB28" i="1" s="1"/>
  <c r="AA29" i="1"/>
  <c r="AC29" i="1" s="1"/>
  <c r="AA30" i="1"/>
  <c r="AC30" i="1" s="1"/>
  <c r="AB30" i="1" s="1"/>
  <c r="AA31" i="1"/>
  <c r="AC31" i="1" s="1"/>
  <c r="AB31" i="1" s="1"/>
  <c r="AA32" i="1"/>
  <c r="AC32" i="1" s="1"/>
  <c r="AB32" i="1" s="1"/>
  <c r="AA33" i="1"/>
  <c r="AC33" i="1" s="1"/>
  <c r="AA34" i="1"/>
  <c r="AC34" i="1" s="1"/>
  <c r="AB34" i="1" s="1"/>
  <c r="AA35" i="1"/>
  <c r="AC35" i="1" s="1"/>
  <c r="AB35" i="1" s="1"/>
  <c r="AA36" i="1"/>
  <c r="AC36" i="1" s="1"/>
  <c r="AB36" i="1" s="1"/>
  <c r="AA37" i="1"/>
  <c r="AC37" i="1" s="1"/>
  <c r="AA38" i="1"/>
  <c r="AC38" i="1" s="1"/>
  <c r="AB38" i="1" s="1"/>
  <c r="AA39" i="1"/>
  <c r="AC39" i="1" s="1"/>
  <c r="AB39" i="1" s="1"/>
  <c r="AA40" i="1"/>
  <c r="AC40" i="1" s="1"/>
  <c r="AB40" i="1" s="1"/>
  <c r="AA41" i="1"/>
  <c r="AC41" i="1" s="1"/>
  <c r="AA42" i="1"/>
  <c r="AC42" i="1" s="1"/>
  <c r="AB42" i="1" s="1"/>
  <c r="AA43" i="1"/>
  <c r="AC43" i="1" s="1"/>
  <c r="AB43" i="1" s="1"/>
  <c r="AA44" i="1"/>
  <c r="AC44" i="1" s="1"/>
  <c r="AB44" i="1" s="1"/>
  <c r="AA45" i="1"/>
  <c r="AC45" i="1" s="1"/>
  <c r="AA46" i="1"/>
  <c r="AC46" i="1" s="1"/>
  <c r="AB46" i="1" s="1"/>
  <c r="AA47" i="1"/>
  <c r="AC47" i="1" s="1"/>
  <c r="AB47" i="1" s="1"/>
  <c r="AA48" i="1"/>
  <c r="AC48" i="1" s="1"/>
  <c r="AB48" i="1" s="1"/>
  <c r="AA49" i="1"/>
  <c r="AC49" i="1" s="1"/>
  <c r="AA50" i="1"/>
  <c r="AC50" i="1" s="1"/>
  <c r="AB50" i="1" s="1"/>
  <c r="AA51" i="1"/>
  <c r="AC51" i="1" s="1"/>
  <c r="AB51" i="1" s="1"/>
  <c r="AA52" i="1"/>
  <c r="AC52" i="1" s="1"/>
  <c r="AB52" i="1" s="1"/>
  <c r="AA53" i="1"/>
  <c r="AC53" i="1" s="1"/>
  <c r="AA54" i="1"/>
  <c r="AC54" i="1" s="1"/>
  <c r="AB54" i="1" s="1"/>
  <c r="AA55" i="1"/>
  <c r="AC55" i="1" s="1"/>
  <c r="AB55" i="1" s="1"/>
  <c r="AA56" i="1"/>
  <c r="AC56" i="1" s="1"/>
  <c r="AB56" i="1" s="1"/>
  <c r="AA57" i="1"/>
  <c r="AC57" i="1" s="1"/>
  <c r="AA58" i="1"/>
  <c r="AC58" i="1" s="1"/>
  <c r="AB58" i="1" s="1"/>
  <c r="AA59" i="1"/>
  <c r="AC59" i="1" s="1"/>
  <c r="AB59" i="1" s="1"/>
  <c r="AA60" i="1"/>
  <c r="AC60" i="1" s="1"/>
  <c r="AB60" i="1" s="1"/>
  <c r="AA61" i="1"/>
  <c r="AC61" i="1" s="1"/>
  <c r="AA62" i="1"/>
  <c r="AC62" i="1" s="1"/>
  <c r="AB62" i="1" s="1"/>
  <c r="AA63" i="1"/>
  <c r="AC63" i="1" s="1"/>
  <c r="AB63" i="1" s="1"/>
  <c r="AA64" i="1"/>
  <c r="AC64" i="1" s="1"/>
  <c r="AB64" i="1" s="1"/>
  <c r="AA65" i="1"/>
  <c r="AC65" i="1" s="1"/>
  <c r="AA66" i="1"/>
  <c r="AC66" i="1" s="1"/>
  <c r="AB66" i="1" s="1"/>
  <c r="AA67" i="1"/>
  <c r="AC67" i="1" s="1"/>
  <c r="AB67" i="1" s="1"/>
  <c r="AA68" i="1"/>
  <c r="AC68" i="1" s="1"/>
  <c r="AB68" i="1" s="1"/>
  <c r="AA69" i="1"/>
  <c r="AC69" i="1" s="1"/>
  <c r="AA70" i="1"/>
  <c r="AC70" i="1" s="1"/>
  <c r="AB70" i="1" s="1"/>
  <c r="AA71" i="1"/>
  <c r="AC71" i="1" s="1"/>
  <c r="AB71" i="1" s="1"/>
  <c r="AA72" i="1"/>
  <c r="AC72" i="1" s="1"/>
  <c r="AB72" i="1" s="1"/>
  <c r="AA73" i="1"/>
  <c r="AC73" i="1" s="1"/>
  <c r="AA74" i="1"/>
  <c r="AC74" i="1" s="1"/>
  <c r="AB74" i="1" s="1"/>
  <c r="AA75" i="1"/>
  <c r="AC75" i="1" s="1"/>
  <c r="AB75" i="1" s="1"/>
  <c r="AA76" i="1"/>
  <c r="AC76" i="1" s="1"/>
  <c r="AB76" i="1" s="1"/>
  <c r="AA77" i="1"/>
  <c r="AC77" i="1" s="1"/>
  <c r="AA78" i="1"/>
  <c r="AC78" i="1" s="1"/>
  <c r="AB78" i="1" s="1"/>
  <c r="AA79" i="1"/>
  <c r="AC79" i="1" s="1"/>
  <c r="AB79" i="1" s="1"/>
  <c r="AA80" i="1"/>
  <c r="AC80" i="1" s="1"/>
  <c r="AB80" i="1" s="1"/>
  <c r="AA81" i="1"/>
  <c r="AC81" i="1" s="1"/>
  <c r="AA82" i="1"/>
  <c r="AC82" i="1" s="1"/>
  <c r="AB82" i="1" s="1"/>
  <c r="AA83" i="1"/>
  <c r="AC83" i="1" s="1"/>
  <c r="AB83" i="1" s="1"/>
  <c r="AA84" i="1"/>
  <c r="AC84" i="1" s="1"/>
  <c r="AB84" i="1" s="1"/>
  <c r="AA85" i="1"/>
  <c r="AC85" i="1" s="1"/>
  <c r="AA86" i="1"/>
  <c r="AC86" i="1" s="1"/>
  <c r="AB86" i="1" s="1"/>
  <c r="AA87" i="1"/>
  <c r="AC87" i="1" s="1"/>
  <c r="AB87" i="1" s="1"/>
  <c r="AA88" i="1"/>
  <c r="AC88" i="1" s="1"/>
  <c r="AB88" i="1" s="1"/>
  <c r="AA89" i="1"/>
  <c r="AC89" i="1" s="1"/>
  <c r="AA90" i="1"/>
  <c r="AC90" i="1" s="1"/>
  <c r="AB90" i="1" s="1"/>
  <c r="AA91" i="1"/>
  <c r="AC91" i="1" s="1"/>
  <c r="AB91" i="1" s="1"/>
  <c r="AA92" i="1"/>
  <c r="AC92" i="1" s="1"/>
  <c r="AB92" i="1" s="1"/>
  <c r="AA93" i="1"/>
  <c r="AC93" i="1" s="1"/>
  <c r="AA94" i="1"/>
  <c r="AC94" i="1" s="1"/>
  <c r="AB94" i="1" s="1"/>
  <c r="AA95" i="1"/>
  <c r="AC95" i="1" s="1"/>
  <c r="AB95" i="1" s="1"/>
  <c r="AA96" i="1"/>
  <c r="AC96" i="1" s="1"/>
  <c r="AB96" i="1" s="1"/>
  <c r="AA97" i="1"/>
  <c r="AC97" i="1" s="1"/>
  <c r="AA98" i="1"/>
  <c r="AC98" i="1" s="1"/>
  <c r="AB98" i="1" s="1"/>
  <c r="AA99" i="1"/>
  <c r="AC99" i="1" s="1"/>
  <c r="AB99" i="1" s="1"/>
  <c r="AA100" i="1"/>
  <c r="AC100" i="1" s="1"/>
  <c r="AB100" i="1" s="1"/>
  <c r="AA101" i="1"/>
  <c r="AC101" i="1" s="1"/>
  <c r="Z70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4088C-10D1-4294-88BB-4966DEA11E42}" keepAlive="1" name="Query - supply_chain_data(1)" description="Connection to the 'supply_chain_data(1)' query in the workbook." type="5" refreshedVersion="8" background="1" saveData="1">
    <dbPr connection="Provider=Microsoft.Mashup.OleDb.1;Data Source=$Workbook$;Location=supply_chain_data(1);Extended Properties=&quot;&quot;" command="SELECT * FROM [supply_chain_data(1)]"/>
  </connection>
</connections>
</file>

<file path=xl/sharedStrings.xml><?xml version="1.0" encoding="utf-8"?>
<sst xmlns="http://schemas.openxmlformats.org/spreadsheetml/2006/main" count="931" uniqueCount="161">
  <si>
    <t>Product_type</t>
  </si>
  <si>
    <t>SKU</t>
  </si>
  <si>
    <t>Price</t>
  </si>
  <si>
    <t>Availability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</si>
  <si>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</si>
  <si>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</si>
  <si>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</si>
  <si>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</si>
  <si>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</si>
  <si>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</si>
  <si>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</si>
  <si>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</si>
  <si>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</si>
  <si>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Lead_time</t>
  </si>
  <si>
    <t>Production_volumes</t>
  </si>
  <si>
    <t>Manufacturing_lead_time</t>
  </si>
  <si>
    <t>Manufacturing_costs</t>
  </si>
  <si>
    <t>Inspection_results</t>
  </si>
  <si>
    <t>Transportation_modes</t>
  </si>
  <si>
    <t>Routes</t>
  </si>
  <si>
    <t>Costs</t>
  </si>
  <si>
    <t>profit</t>
  </si>
  <si>
    <t>Haircare</t>
  </si>
  <si>
    <t>Sku0</t>
  </si>
  <si>
    <t>Non-Binary</t>
  </si>
  <si>
    <t>Mumbai</t>
  </si>
  <si>
    <t>Pending</t>
  </si>
  <si>
    <t>Road</t>
  </si>
  <si>
    <t>Skincare</t>
  </si>
  <si>
    <t>Sku1</t>
  </si>
  <si>
    <t>Female</t>
  </si>
  <si>
    <t>Sku2</t>
  </si>
  <si>
    <t>Unknown</t>
  </si>
  <si>
    <t>Air</t>
  </si>
  <si>
    <t>Sku3</t>
  </si>
  <si>
    <t>Kolkata</t>
  </si>
  <si>
    <t>Fail</t>
  </si>
  <si>
    <t>Rail</t>
  </si>
  <si>
    <t>Sku4</t>
  </si>
  <si>
    <t>Delhi</t>
  </si>
  <si>
    <t>Sku5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</si>
  <si>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</si>
  <si>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</si>
  <si>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</si>
  <si>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</si>
  <si>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</si>
  <si>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</si>
  <si>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</si>
  <si>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</si>
  <si>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</si>
  <si>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</si>
  <si>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</si>
  <si>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</si>
  <si>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</si>
  <si>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</si>
  <si>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</si>
  <si>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</si>
  <si>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</si>
  <si>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</si>
  <si>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</si>
  <si>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</si>
  <si>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</si>
  <si>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</si>
  <si>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</si>
  <si>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</si>
  <si>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</si>
  <si>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</si>
  <si>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</si>
  <si>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</si>
  <si>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</si>
  <si>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</si>
  <si>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</si>
  <si>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</si>
  <si>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</si>
  <si>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</si>
  <si>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</si>
  <si>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</si>
  <si>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</si>
  <si>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</si>
  <si>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</si>
  <si>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</si>
  <si>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</si>
  <si>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</si>
  <si>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</si>
  <si>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</si>
  <si>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</si>
  <si>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</si>
  <si>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</si>
  <si>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</si>
  <si>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</si>
  <si>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</si>
  <si>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</si>
  <si>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</si>
  <si>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</si>
  <si>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</si>
  <si>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</si>
  <si>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</si>
  <si>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</si>
  <si>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</si>
  <si>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</si>
  <si>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</si>
  <si>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</si>
  <si>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</si>
  <si>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</si>
  <si>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</si>
  <si>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</si>
  <si>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</si>
  <si>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</si>
  <si>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</si>
  <si>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</si>
  <si>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</si>
  <si>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</si>
  <si>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</si>
  <si>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</si>
  <si>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</si>
  <si>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</si>
  <si>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</si>
  <si>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</si>
  <si>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</si>
  <si>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</si>
  <si>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</si>
  <si>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</si>
  <si>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</si>
  <si>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</si>
  <si>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</si>
  <si>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</si>
  <si>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</si>
  <si>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</si>
  <si>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</si>
  <si>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</si>
  <si>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</si>
  <si>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</si>
  <si>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</si>
  <si>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</si>
  <si>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</si>
  <si>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</si>
  <si>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</si>
  <si>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</si>
  <si>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</si>
  <si>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</si>
  <si>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</si>
  <si>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Defect_rates2</t>
  </si>
  <si>
    <t>Defect_rates%</t>
  </si>
  <si>
    <t>Numberofproductssold</t>
  </si>
  <si>
    <t>Revenue_generated</t>
  </si>
  <si>
    <t>CarrierB</t>
  </si>
  <si>
    <t>Supplier3</t>
  </si>
  <si>
    <t>RouteB</t>
  </si>
  <si>
    <t>CarrierA</t>
  </si>
  <si>
    <t>Supplier1</t>
  </si>
  <si>
    <t>RouteC</t>
  </si>
  <si>
    <t>CarrierC</t>
  </si>
  <si>
    <t>Supplier5</t>
  </si>
  <si>
    <t>RouteA</t>
  </si>
  <si>
    <t>Supplier4</t>
  </si>
  <si>
    <t>Supplier2</t>
  </si>
  <si>
    <t>Stock_Turnover</t>
  </si>
  <si>
    <t>Actual_Profit</t>
  </si>
  <si>
    <t>Total_Costs</t>
  </si>
  <si>
    <t>Profit_Margin</t>
  </si>
  <si>
    <t>Defects_Count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</si>
</sst>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43" fontId="0" fillId="0" borderId="0" xfId="1" applyFont="1"/>
    <xf numFmtId="9" fontId="2" fillId="0" borderId="0" xfId="2" applyFont="1"/>
    <xf numFmtId="49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2" fontId="2" fillId="0" borderId="0" xfId="1" applyNumberFormat="1" applyFont="1"/>
    <xf numFmtId="2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28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0E2128-9A72-42A0-8C0C-8A1CB01C4AC4}" autoFormatId="16" applyNumberFormats="0" applyBorderFormats="0" applyFontFormats="0" applyPatternFormats="0" applyAlignmentFormats="0" applyWidthHeightFormats="0">
  <queryTableRefresh nextId="32">
    <queryTableFields count="31">
      <queryTableField id="1" name="Product_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_ generated" tableColumnId="6"/>
      <queryTableField id="7" name="Customer_demographics" tableColumnId="7"/>
      <queryTableField id="8" name="Stock_levels" tableColumnId="8"/>
      <queryTableField id="9" name="Lead_times" tableColumnId="9"/>
      <queryTableField id="10" name="Order_quantities" tableColumnId="10"/>
      <queryTableField id="11" name="Shipping_times" tableColumnId="11"/>
      <queryTableField id="12" name="Shipping_carriers" tableColumnId="12"/>
      <queryTableField id="13" name="Shipping_costs" tableColumnId="13"/>
      <queryTableField id="14" name="Supplier_name" tableColumnId="14"/>
      <queryTableField id="15" name="Location" tableColumnId="15"/>
      <queryTableField id="16" name="Lead_time" tableColumnId="16"/>
      <queryTableField id="17" name="Production_volumes" tableColumnId="17"/>
      <queryTableField id="18" name="Manufacturing_lead_time" tableColumnId="18"/>
      <queryTableField id="19" name="Manufacturing_costs" tableColumnId="19"/>
      <queryTableField id="20" name="Inspection_results" tableColumnId="20"/>
      <queryTableField id="26" dataBound="0" tableColumnId="26"/>
      <queryTableField id="21" name="Defect_rates" tableColumnId="21"/>
      <queryTableField id="22" name="Transportation_modes" tableColumnId="22"/>
      <queryTableField id="23" name="Routes" tableColumnId="23"/>
      <queryTableField id="24" name="Costs" tableColumnId="24"/>
      <queryTableField id="27" dataBound="0" tableColumnId="27"/>
      <queryTableField id="28" dataBound="0" tableColumnId="28"/>
      <queryTableField id="30" dataBound="0" tableColumnId="30"/>
      <queryTableField id="29" dataBound="0" tableColumnId="29"/>
      <queryTableField id="31" dataBound="0" tableColumnId="31"/>
      <queryTableField id="25" name="profi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AC9D9-8FCF-40B1-B6E3-4C9D9EB8838C}" name="supply_chain_data_1" displayName="supply_chain_data_1" ref="A1:AE101" tableType="queryTable" totalsRowShown="0">
  <autoFilter ref="A1:AE101" xr:uid="{6C5AC9D9-8FCF-40B1-B6E3-4C9D9EB8838C}"/>
  <tableColumns count="31">
    <tableColumn id="1" xr3:uid="{026B0219-D370-4B4C-BB09-2409751107C5}" uniqueName="1" name="Product_type" queryTableFieldId="1" dataDxfId="27"/>
    <tableColumn id="2" xr3:uid="{8106FD81-BEB2-4D37-8704-D0114772D10B}" uniqueName="2" name="SKU" queryTableFieldId="2" dataDxfId="26"/>
    <tableColumn id="3" xr3:uid="{16320F5A-ECE9-4844-A594-DA608F4A250D}" uniqueName="3" name="Price" queryTableFieldId="3" dataDxfId="25" dataCellStyle="Comma"/>
    <tableColumn id="4" xr3:uid="{DBFCB640-AF77-4CEF-8801-EA2E2841C316}" uniqueName="4" name="Availability" queryTableFieldId="4" dataDxfId="24"/>
    <tableColumn id="5" xr3:uid="{4161C7B1-87AC-4893-B706-A6B3EA4052D8}" uniqueName="5" name="Numberofproductssold" queryTableFieldId="5" dataDxfId="23"/>
    <tableColumn id="6" xr3:uid="{FDD7601E-1A70-4B74-BBEA-8848E9DB718F}" uniqueName="6" name="Revenue_generated" queryTableFieldId="6" dataCellStyle="Comma"/>
    <tableColumn id="7" xr3:uid="{8B86D6A4-C26B-4A08-9E02-A36F0B05D95E}" uniqueName="7" name="Customer_demographics" queryTableFieldId="7" dataDxfId="22"/>
    <tableColumn id="8" xr3:uid="{8307321F-2DAB-4389-9713-D4AFECE6CB26}" uniqueName="8" name="Stock_levels" queryTableFieldId="8" dataDxfId="21"/>
    <tableColumn id="9" xr3:uid="{DC2E77D0-F12E-4EEE-A8C6-A74896C61073}" uniqueName="9" name="Lead_times" queryTableFieldId="9" dataDxfId="20"/>
    <tableColumn id="10" xr3:uid="{8231DF3E-5397-44AE-A053-7E2AB2EC5AAB}" uniqueName="10" name="Order_quantities" queryTableFieldId="10" dataDxfId="19"/>
    <tableColumn id="11" xr3:uid="{8F1211B8-5DB7-4B2F-ACBB-C4C287358B45}" uniqueName="11" name="Shipping_times" queryTableFieldId="11" dataDxfId="18"/>
    <tableColumn id="12" xr3:uid="{698667F6-3146-403C-8685-2A92A0EC0A0F}" uniqueName="12" name="Shipping_carriers" queryTableFieldId="12" dataDxfId="17"/>
    <tableColumn id="13" xr3:uid="{9563D7A9-EA86-431C-99E0-432EF634EFF3}" uniqueName="13" name="Shipping_costs" queryTableFieldId="13" dataDxfId="15" dataCellStyle="Comma"/>
    <tableColumn id="14" xr3:uid="{467CE8DE-626C-42B2-ACA8-D5CA84ACFC96}" uniqueName="14" name="Supplier_name" queryTableFieldId="14" dataDxfId="16"/>
    <tableColumn id="15" xr3:uid="{D1C63C02-7A08-47BB-976F-502C06C9A31B}" uniqueName="15" name="Location" queryTableFieldId="15" dataDxfId="13"/>
    <tableColumn id="16" xr3:uid="{72FA91A2-F94B-424D-B32B-1BDD185329DC}" uniqueName="16" name="Lead_time" queryTableFieldId="16" dataDxfId="12"/>
    <tableColumn id="17" xr3:uid="{203C11E4-6416-4435-A50E-497B783AC820}" uniqueName="17" name="Production_volumes" queryTableFieldId="17" dataDxfId="11"/>
    <tableColumn id="18" xr3:uid="{12230124-554E-4CC5-A0F5-246DD9792C97}" uniqueName="18" name="Manufacturing_lead_time" queryTableFieldId="18" dataDxfId="9"/>
    <tableColumn id="19" xr3:uid="{CC8A1DBE-9281-4B46-8878-BE8C253A2EEC}" uniqueName="19" name="Manufacturing_costs" queryTableFieldId="19" dataDxfId="10" dataCellStyle="Comma"/>
    <tableColumn id="20" xr3:uid="{EDF5918F-FF0F-4F31-B8D3-D367E5E50215}" uniqueName="20" name="Inspection_results" queryTableFieldId="20" dataDxfId="14"/>
    <tableColumn id="26" xr3:uid="{A63B276B-02B0-4FF9-B292-7D998BA289A6}" uniqueName="26" name="Defect_rates%" queryTableFieldId="26" dataCellStyle="Percent">
      <calculatedColumnFormula>supply_chain_data_1[[#This Row],[Defect_rates2]]/100</calculatedColumnFormula>
    </tableColumn>
    <tableColumn id="21" xr3:uid="{7B99A8BD-E360-4101-9927-328E1218E7AD}" uniqueName="21" name="Defect_rates2" queryTableFieldId="21"/>
    <tableColumn id="22" xr3:uid="{C0F1C5D4-7609-487A-AE91-C07413D5F135}" uniqueName="22" name="Transportation_modes" queryTableFieldId="22" dataDxfId="8"/>
    <tableColumn id="23" xr3:uid="{5148CBBD-AE3A-48B4-8797-8148ABFDAFDF}" uniqueName="23" name="Routes" queryTableFieldId="23" dataDxfId="7"/>
    <tableColumn id="24" xr3:uid="{3322BF9B-B2BE-4212-AF58-47142D66AF3B}" uniqueName="24" name="Costs" queryTableFieldId="24" dataDxfId="6" dataCellStyle="Comma"/>
    <tableColumn id="27" xr3:uid="{BD1650E9-B1D4-4975-9346-5DF6635BCC5E}" uniqueName="27" name="Stock_Turnover" queryTableFieldId="27" dataDxfId="5" dataCellStyle="Comma">
      <calculatedColumnFormula>IFERROR(E2/H2, 0)</calculatedColumnFormula>
    </tableColumn>
    <tableColumn id="28" xr3:uid="{72B35876-F3DD-49FA-8DEE-EB45D3957120}" uniqueName="28" name="Total_Costs" queryTableFieldId="28" dataDxfId="4" dataCellStyle="Comma">
      <calculatedColumnFormula>M2 + S2 + Y2</calculatedColumnFormula>
    </tableColumn>
    <tableColumn id="30" xr3:uid="{0689375E-31B9-47FE-848E-421DD85DCCF5}" uniqueName="30" name="Profit_Margin" queryTableFieldId="30" dataDxfId="3" dataCellStyle="Percent">
      <calculatedColumnFormula>IFERROR(supply_chain_data_1[[#This Row],[Actual_Profit]] / F2, 0)</calculatedColumnFormula>
    </tableColumn>
    <tableColumn id="29" xr3:uid="{AC97C2EE-5550-4DC6-BA63-70217F6ECEF3}" uniqueName="29" name="Actual_Profit" queryTableFieldId="29" dataDxfId="2" dataCellStyle="Comma">
      <calculatedColumnFormula>F2 - supply_chain_data_1[[#This Row],[Total_Costs]]</calculatedColumnFormula>
    </tableColumn>
    <tableColumn id="31" xr3:uid="{E9868C2B-6F80-41B0-AB77-33AB314F17BC}" uniqueName="31" name="Defects_Count" queryTableFieldId="31" dataDxfId="1" dataCellStyle="Comma">
      <calculatedColumnFormula>E2 * U2</calculatedColumnFormula>
    </tableColumn>
    <tableColumn id="25" xr3:uid="{0DC2FD69-76C4-48BC-BB57-44B21D2EA704}" uniqueName="25" name="profit" queryTableFieldId="25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FD49-56B3-4814-B351-8B6399506773}">
  <dimension ref="A1:AE101"/>
  <sheetViews>
    <sheetView tabSelected="1" topLeftCell="H1" workbookViewId="0">
      <selection activeCell="AF5" sqref="AF5"/>
    </sheetView>
  </sheetViews>
  <sheetFormatPr defaultRowHeight="15" x14ac:dyDescent="0.25"/>
  <cols>
    <col min="1" max="1" width="14.7109375" bestFit="1" customWidth="1"/>
    <col min="2" max="2" width="6.7109375" style="4" bestFit="1" customWidth="1"/>
    <col min="3" max="3" width="8" style="5" bestFit="1" customWidth="1"/>
    <col min="4" max="4" width="12.42578125" style="6" bestFit="1" customWidth="1"/>
    <col min="5" max="5" width="24.42578125" style="6" bestFit="1" customWidth="1"/>
    <col min="6" max="6" width="20.7109375" style="2" bestFit="1" customWidth="1"/>
    <col min="7" max="7" width="24.5703125" style="4" bestFit="1" customWidth="1"/>
    <col min="8" max="8" width="13.5703125" style="6" bestFit="1" customWidth="1"/>
    <col min="9" max="9" width="12.7109375" style="6" bestFit="1" customWidth="1"/>
    <col min="10" max="10" width="17.42578125" style="6" bestFit="1" customWidth="1"/>
    <col min="11" max="11" width="16.28515625" style="6" bestFit="1" customWidth="1"/>
    <col min="12" max="12" width="17.7109375" style="4" bestFit="1" customWidth="1"/>
    <col min="13" max="13" width="15.85546875" style="5" bestFit="1" customWidth="1"/>
    <col min="14" max="14" width="16" style="4" bestFit="1" customWidth="1"/>
    <col min="15" max="15" width="10.42578125" style="4" bestFit="1" customWidth="1"/>
    <col min="16" max="16" width="12" style="6" bestFit="1" customWidth="1"/>
    <col min="17" max="17" width="20.85546875" style="6" bestFit="1" customWidth="1"/>
    <col min="18" max="18" width="25.42578125" style="6" bestFit="1" customWidth="1"/>
    <col min="19" max="19" width="21.28515625" style="5" bestFit="1" customWidth="1"/>
    <col min="20" max="20" width="18.5703125" style="4" bestFit="1" customWidth="1"/>
    <col min="21" max="21" width="18.5703125" style="1" customWidth="1"/>
    <col min="22" max="22" width="13.7109375" bestFit="1" customWidth="1"/>
    <col min="23" max="23" width="22.5703125" style="4" bestFit="1" customWidth="1"/>
    <col min="24" max="24" width="9" style="4" bestFit="1" customWidth="1"/>
    <col min="25" max="25" width="9" style="5" bestFit="1" customWidth="1"/>
    <col min="26" max="27" width="9" style="5" customWidth="1"/>
    <col min="28" max="28" width="9" style="1" customWidth="1"/>
    <col min="29" max="30" width="9" style="5" customWidth="1"/>
    <col min="31" max="31" width="10" style="5" bestFit="1" customWidth="1"/>
  </cols>
  <sheetData>
    <row r="1" spans="1:31" x14ac:dyDescent="0.25">
      <c r="A1" t="s">
        <v>0</v>
      </c>
      <c r="B1" s="4" t="s">
        <v>1</v>
      </c>
      <c r="C1" s="5" t="s">
        <v>2</v>
      </c>
      <c r="D1" s="6" t="s">
        <v>3</v>
      </c>
      <c r="E1" s="6" t="s">
        <v>143</v>
      </c>
      <c r="F1" s="2" t="s">
        <v>144</v>
      </c>
      <c r="G1" s="4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4" t="s">
        <v>9</v>
      </c>
      <c r="M1" s="5" t="s">
        <v>10</v>
      </c>
      <c r="N1" s="4" t="s">
        <v>11</v>
      </c>
      <c r="O1" s="4" t="s">
        <v>12</v>
      </c>
      <c r="P1" s="6" t="s">
        <v>13</v>
      </c>
      <c r="Q1" s="6" t="s">
        <v>14</v>
      </c>
      <c r="R1" s="6" t="s">
        <v>15</v>
      </c>
      <c r="S1" s="5" t="s">
        <v>16</v>
      </c>
      <c r="T1" s="4" t="s">
        <v>17</v>
      </c>
      <c r="U1" s="1" t="s">
        <v>142</v>
      </c>
      <c r="V1" t="s">
        <v>141</v>
      </c>
      <c r="W1" s="4" t="s">
        <v>18</v>
      </c>
      <c r="X1" s="4" t="s">
        <v>19</v>
      </c>
      <c r="Y1" s="5" t="s">
        <v>20</v>
      </c>
      <c r="Z1" s="5" t="s">
        <v>156</v>
      </c>
      <c r="AA1" s="5" t="s">
        <v>158</v>
      </c>
      <c r="AB1" s="1" t="s">
        <v>159</v>
      </c>
      <c r="AC1" s="5" t="s">
        <v>157</v>
      </c>
      <c r="AD1" s="5" t="s">
        <v>160</v>
      </c>
      <c r="AE1" s="5" t="s">
        <v>21</v>
      </c>
    </row>
    <row r="2" spans="1:31" ht="15.75" x14ac:dyDescent="0.3">
      <c r="A2" s="4" t="s">
        <v>22</v>
      </c>
      <c r="B2" s="4" t="s">
        <v>23</v>
      </c>
      <c r="C2" s="5">
        <v>69.808000000000007</v>
      </c>
      <c r="D2" s="6">
        <v>55</v>
      </c>
      <c r="E2" s="6">
        <v>802</v>
      </c>
      <c r="F2" s="2">
        <v>8661.9968000000008</v>
      </c>
      <c r="G2" s="4" t="s">
        <v>24</v>
      </c>
      <c r="H2" s="6">
        <v>58</v>
      </c>
      <c r="I2" s="6">
        <v>7</v>
      </c>
      <c r="J2" s="6">
        <v>96</v>
      </c>
      <c r="K2" s="6">
        <v>4</v>
      </c>
      <c r="L2" s="4" t="s">
        <v>145</v>
      </c>
      <c r="M2" s="5">
        <v>2.9565999999999999</v>
      </c>
      <c r="N2" s="4" t="s">
        <v>146</v>
      </c>
      <c r="O2" s="4" t="s">
        <v>25</v>
      </c>
      <c r="P2" s="6">
        <v>29</v>
      </c>
      <c r="Q2" s="6">
        <v>215</v>
      </c>
      <c r="R2" s="6">
        <v>29</v>
      </c>
      <c r="S2" s="5">
        <v>46.279899999999998</v>
      </c>
      <c r="T2" s="4" t="s">
        <v>26</v>
      </c>
      <c r="U2" s="1">
        <f>supply_chain_data_1[[#This Row],[Defect_rates2]]/100</f>
        <v>2.2641036084992518E-3</v>
      </c>
      <c r="V2">
        <v>0.22641036084992516</v>
      </c>
      <c r="W2" s="4" t="s">
        <v>27</v>
      </c>
      <c r="X2" s="4" t="s">
        <v>147</v>
      </c>
      <c r="Y2" s="5">
        <v>187.75210000000001</v>
      </c>
      <c r="Z2" s="7">
        <f t="shared" ref="Z2:Z33" si="0">IFERROR(E2/H2, 0)</f>
        <v>13.827586206896552</v>
      </c>
      <c r="AA2" s="8">
        <f t="shared" ref="AA2:AA33" si="1">M2 + S2 + Y2</f>
        <v>236.98860000000002</v>
      </c>
      <c r="AB2" s="3">
        <f>IFERROR(supply_chain_data_1[[#This Row],[Actual_Profit]] / F2, 0)</f>
        <v>0.97264041935457646</v>
      </c>
      <c r="AC2" s="8">
        <f>F2 - supply_chain_data_1[[#This Row],[Total_Costs]]</f>
        <v>8425.0082000000002</v>
      </c>
      <c r="AD2" s="8">
        <f t="shared" ref="AD2:AD33" si="2">E2 * U2</f>
        <v>1.8158110940163998</v>
      </c>
      <c r="AE2" s="5">
        <v>8474.2446999999993</v>
      </c>
    </row>
    <row r="3" spans="1:31" x14ac:dyDescent="0.25">
      <c r="A3" s="4" t="s">
        <v>28</v>
      </c>
      <c r="B3" s="4" t="s">
        <v>29</v>
      </c>
      <c r="C3" s="5">
        <v>14.843500000000001</v>
      </c>
      <c r="D3" s="6">
        <v>95</v>
      </c>
      <c r="E3" s="6">
        <v>736</v>
      </c>
      <c r="F3" s="2">
        <v>7460.9000999999998</v>
      </c>
      <c r="G3" s="4" t="s">
        <v>30</v>
      </c>
      <c r="H3" s="6">
        <v>53</v>
      </c>
      <c r="I3" s="6">
        <v>30</v>
      </c>
      <c r="J3" s="6">
        <v>37</v>
      </c>
      <c r="K3" s="6">
        <v>2</v>
      </c>
      <c r="L3" s="4" t="s">
        <v>148</v>
      </c>
      <c r="M3" s="5">
        <v>9.7165999999999997</v>
      </c>
      <c r="N3" s="4" t="s">
        <v>146</v>
      </c>
      <c r="O3" s="4" t="s">
        <v>25</v>
      </c>
      <c r="P3" s="6">
        <v>23</v>
      </c>
      <c r="Q3" s="6">
        <v>517</v>
      </c>
      <c r="R3" s="6">
        <v>30</v>
      </c>
      <c r="S3" s="5">
        <v>33.616799999999998</v>
      </c>
      <c r="T3" s="4" t="s">
        <v>26</v>
      </c>
      <c r="U3" s="1">
        <f>supply_chain_data_1[[#This Row],[Defect_rates2]]/100</f>
        <v>4.8540680263887061E-2</v>
      </c>
      <c r="V3">
        <v>4.8540680263887062</v>
      </c>
      <c r="W3" s="4" t="s">
        <v>27</v>
      </c>
      <c r="X3" s="4" t="s">
        <v>147</v>
      </c>
      <c r="Y3" s="5">
        <v>503.06560000000002</v>
      </c>
      <c r="Z3" s="5">
        <f t="shared" si="0"/>
        <v>13.886792452830189</v>
      </c>
      <c r="AA3" s="5">
        <f t="shared" si="1"/>
        <v>546.399</v>
      </c>
      <c r="AB3" s="1">
        <f>IFERROR(supply_chain_data_1[[#This Row],[Actual_Profit]] / F3, 0)</f>
        <v>0.92676500252295291</v>
      </c>
      <c r="AC3" s="5">
        <f>F3 - supply_chain_data_1[[#This Row],[Total_Costs]]</f>
        <v>6914.5010999999995</v>
      </c>
      <c r="AD3" s="5">
        <f t="shared" si="2"/>
        <v>35.72594067422088</v>
      </c>
      <c r="AE3" s="5">
        <v>6957.8344999999999</v>
      </c>
    </row>
    <row r="4" spans="1:31" x14ac:dyDescent="0.25">
      <c r="A4" s="4" t="s">
        <v>22</v>
      </c>
      <c r="B4" s="4" t="s">
        <v>31</v>
      </c>
      <c r="C4" s="5">
        <v>11.319699999999999</v>
      </c>
      <c r="D4" s="6">
        <v>34</v>
      </c>
      <c r="E4" s="6">
        <v>8</v>
      </c>
      <c r="F4" s="2">
        <v>9577.7495999999992</v>
      </c>
      <c r="G4" s="4" t="s">
        <v>32</v>
      </c>
      <c r="H4" s="6">
        <v>1</v>
      </c>
      <c r="I4" s="6">
        <v>10</v>
      </c>
      <c r="J4" s="6">
        <v>88</v>
      </c>
      <c r="K4" s="6">
        <v>2</v>
      </c>
      <c r="L4" s="4" t="s">
        <v>145</v>
      </c>
      <c r="M4" s="5">
        <v>8.0545000000000009</v>
      </c>
      <c r="N4" s="4" t="s">
        <v>149</v>
      </c>
      <c r="O4" s="4" t="s">
        <v>25</v>
      </c>
      <c r="P4" s="6">
        <v>12</v>
      </c>
      <c r="Q4" s="6">
        <v>971</v>
      </c>
      <c r="R4" s="6">
        <v>27</v>
      </c>
      <c r="S4" s="5">
        <v>30.687999999999999</v>
      </c>
      <c r="T4" s="4" t="s">
        <v>26</v>
      </c>
      <c r="U4" s="1">
        <f>supply_chain_data_1[[#This Row],[Defect_rates2]]/100</f>
        <v>4.5805926191992287E-2</v>
      </c>
      <c r="V4">
        <v>4.580592619199229</v>
      </c>
      <c r="W4" s="4" t="s">
        <v>33</v>
      </c>
      <c r="X4" s="4" t="s">
        <v>150</v>
      </c>
      <c r="Y4" s="5">
        <v>141.9203</v>
      </c>
      <c r="Z4" s="5">
        <f t="shared" si="0"/>
        <v>8</v>
      </c>
      <c r="AA4" s="5">
        <f t="shared" si="1"/>
        <v>180.6628</v>
      </c>
      <c r="AB4" s="1">
        <f>IFERROR(supply_chain_data_1[[#This Row],[Actual_Profit]] / F4, 0)</f>
        <v>0.9811372391694182</v>
      </c>
      <c r="AC4" s="5">
        <f>F4 - supply_chain_data_1[[#This Row],[Total_Costs]]</f>
        <v>9397.0867999999991</v>
      </c>
      <c r="AD4" s="5">
        <f t="shared" si="2"/>
        <v>0.3664474095359383</v>
      </c>
      <c r="AE4" s="5">
        <v>9435.8292999999994</v>
      </c>
    </row>
    <row r="5" spans="1:31" x14ac:dyDescent="0.25">
      <c r="A5" s="4" t="s">
        <v>28</v>
      </c>
      <c r="B5" s="4" t="s">
        <v>34</v>
      </c>
      <c r="C5" s="5">
        <v>61.1633</v>
      </c>
      <c r="D5" s="6">
        <v>68</v>
      </c>
      <c r="E5" s="6">
        <v>83</v>
      </c>
      <c r="F5" s="2">
        <v>7766.8364000000001</v>
      </c>
      <c r="G5" s="4" t="s">
        <v>24</v>
      </c>
      <c r="H5" s="6">
        <v>23</v>
      </c>
      <c r="I5" s="6">
        <v>13</v>
      </c>
      <c r="J5" s="6">
        <v>59</v>
      </c>
      <c r="K5" s="6">
        <v>6</v>
      </c>
      <c r="L5" s="4" t="s">
        <v>151</v>
      </c>
      <c r="M5" s="5">
        <v>1.7296</v>
      </c>
      <c r="N5" s="4" t="s">
        <v>152</v>
      </c>
      <c r="O5" s="4" t="s">
        <v>35</v>
      </c>
      <c r="P5" s="6">
        <v>24</v>
      </c>
      <c r="Q5" s="6">
        <v>937</v>
      </c>
      <c r="R5" s="6">
        <v>18</v>
      </c>
      <c r="S5" s="5">
        <v>35.624699999999997</v>
      </c>
      <c r="T5" s="4" t="s">
        <v>36</v>
      </c>
      <c r="U5" s="1">
        <f>supply_chain_data_1[[#This Row],[Defect_rates2]]/100</f>
        <v>4.7466486206477497E-2</v>
      </c>
      <c r="V5">
        <v>4.7466486206477496</v>
      </c>
      <c r="W5" s="4" t="s">
        <v>37</v>
      </c>
      <c r="X5" s="4" t="s">
        <v>153</v>
      </c>
      <c r="Y5" s="5">
        <v>254.77619999999999</v>
      </c>
      <c r="Z5" s="5">
        <f t="shared" si="0"/>
        <v>3.6086956521739131</v>
      </c>
      <c r="AA5" s="5">
        <f t="shared" si="1"/>
        <v>292.13049999999998</v>
      </c>
      <c r="AB5" s="1">
        <f>IFERROR(supply_chain_data_1[[#This Row],[Actual_Profit]] / F5, 0)</f>
        <v>0.96238745288879779</v>
      </c>
      <c r="AC5" s="5">
        <f>F5 - supply_chain_data_1[[#This Row],[Total_Costs]]</f>
        <v>7474.7058999999999</v>
      </c>
      <c r="AD5" s="5">
        <f t="shared" si="2"/>
        <v>3.9397183551376322</v>
      </c>
      <c r="AE5" s="5">
        <v>7512.0601999999999</v>
      </c>
    </row>
    <row r="6" spans="1:31" x14ac:dyDescent="0.25">
      <c r="A6" s="4" t="s">
        <v>28</v>
      </c>
      <c r="B6" s="4" t="s">
        <v>38</v>
      </c>
      <c r="C6" s="5">
        <v>4.8055000000000003</v>
      </c>
      <c r="D6" s="6">
        <v>26</v>
      </c>
      <c r="E6" s="6">
        <v>871</v>
      </c>
      <c r="F6" s="2">
        <v>2686.5052000000001</v>
      </c>
      <c r="G6" s="4" t="s">
        <v>24</v>
      </c>
      <c r="H6" s="6">
        <v>5</v>
      </c>
      <c r="I6" s="6">
        <v>3</v>
      </c>
      <c r="J6" s="6">
        <v>56</v>
      </c>
      <c r="K6" s="6">
        <v>8</v>
      </c>
      <c r="L6" s="4" t="s">
        <v>148</v>
      </c>
      <c r="M6" s="5">
        <v>3.8904999999999998</v>
      </c>
      <c r="N6" s="4" t="s">
        <v>149</v>
      </c>
      <c r="O6" s="4" t="s">
        <v>39</v>
      </c>
      <c r="P6" s="6">
        <v>5</v>
      </c>
      <c r="Q6" s="6">
        <v>414</v>
      </c>
      <c r="R6" s="6">
        <v>3</v>
      </c>
      <c r="S6" s="5">
        <v>92.065200000000004</v>
      </c>
      <c r="T6" s="4" t="s">
        <v>36</v>
      </c>
      <c r="U6" s="1">
        <f>supply_chain_data_1[[#This Row],[Defect_rates2]]/100</f>
        <v>3.1455795228330016E-2</v>
      </c>
      <c r="V6">
        <v>3.1455795228330019</v>
      </c>
      <c r="W6" s="4" t="s">
        <v>33</v>
      </c>
      <c r="X6" s="4" t="s">
        <v>153</v>
      </c>
      <c r="Y6" s="5">
        <v>923.44060000000002</v>
      </c>
      <c r="Z6" s="5">
        <f t="shared" si="0"/>
        <v>174.2</v>
      </c>
      <c r="AA6" s="5">
        <f t="shared" si="1"/>
        <v>1019.3963</v>
      </c>
      <c r="AB6" s="1">
        <f>IFERROR(supply_chain_data_1[[#This Row],[Actual_Profit]] / F6, 0)</f>
        <v>0.62054929206911646</v>
      </c>
      <c r="AC6" s="5">
        <f>F6 - supply_chain_data_1[[#This Row],[Total_Costs]]</f>
        <v>1667.1089000000002</v>
      </c>
      <c r="AD6" s="5">
        <f t="shared" si="2"/>
        <v>27.397997643875446</v>
      </c>
      <c r="AE6" s="5">
        <v>1763.0645999999999</v>
      </c>
    </row>
    <row r="7" spans="1:31" x14ac:dyDescent="0.25">
      <c r="A7" s="4" t="s">
        <v>22</v>
      </c>
      <c r="B7" s="4" t="s">
        <v>40</v>
      </c>
      <c r="C7" s="5">
        <v>1.7</v>
      </c>
      <c r="D7" s="6">
        <v>87</v>
      </c>
      <c r="E7" s="6">
        <v>147</v>
      </c>
      <c r="F7" s="2">
        <v>2828.3487</v>
      </c>
      <c r="G7" s="4" t="s">
        <v>24</v>
      </c>
      <c r="H7" s="6">
        <v>90</v>
      </c>
      <c r="I7" s="6">
        <v>27</v>
      </c>
      <c r="J7" s="6">
        <v>66</v>
      </c>
      <c r="K7" s="6">
        <v>3</v>
      </c>
      <c r="L7" s="4" t="s">
        <v>145</v>
      </c>
      <c r="M7" s="5">
        <v>4.4440999999999997</v>
      </c>
      <c r="N7" s="4" t="s">
        <v>154</v>
      </c>
      <c r="O7" s="4" t="s">
        <v>41</v>
      </c>
      <c r="P7" s="6">
        <v>10</v>
      </c>
      <c r="Q7" s="6">
        <v>104</v>
      </c>
      <c r="R7" s="6">
        <v>17</v>
      </c>
      <c r="S7" s="5">
        <v>56.766500000000001</v>
      </c>
      <c r="T7" s="4" t="s">
        <v>36</v>
      </c>
      <c r="U7" s="1">
        <f>supply_chain_data_1[[#This Row],[Defect_rates2]]/100</f>
        <v>2.7791935115711618E-2</v>
      </c>
      <c r="V7">
        <v>2.7791935115711617</v>
      </c>
      <c r="W7" s="4" t="s">
        <v>27</v>
      </c>
      <c r="X7" s="4" t="s">
        <v>153</v>
      </c>
      <c r="Y7" s="5">
        <v>235.46119999999999</v>
      </c>
      <c r="Z7" s="5">
        <f t="shared" si="0"/>
        <v>1.6333333333333333</v>
      </c>
      <c r="AA7" s="5">
        <f t="shared" si="1"/>
        <v>296.67179999999996</v>
      </c>
      <c r="AB7" s="1">
        <f>IFERROR(supply_chain_data_1[[#This Row],[Actual_Profit]] / F7, 0)</f>
        <v>0.89510777083462156</v>
      </c>
      <c r="AC7" s="5">
        <f>F7 - supply_chain_data_1[[#This Row],[Total_Costs]]</f>
        <v>2531.6768999999999</v>
      </c>
      <c r="AD7" s="5">
        <f t="shared" si="2"/>
        <v>4.0854144620096076</v>
      </c>
      <c r="AE7" s="5">
        <v>2592.8874999999998</v>
      </c>
    </row>
    <row r="8" spans="1:31" x14ac:dyDescent="0.25">
      <c r="A8" s="4" t="s">
        <v>28</v>
      </c>
      <c r="B8" s="4" t="s">
        <v>42</v>
      </c>
      <c r="C8" s="5">
        <v>4.0782999999999996</v>
      </c>
      <c r="D8" s="6">
        <v>48</v>
      </c>
      <c r="E8" s="6">
        <v>65</v>
      </c>
      <c r="F8" s="2">
        <v>7823.4766</v>
      </c>
      <c r="G8" s="4" t="s">
        <v>43</v>
      </c>
      <c r="H8" s="6">
        <v>11</v>
      </c>
      <c r="I8" s="6">
        <v>15</v>
      </c>
      <c r="J8" s="6">
        <v>58</v>
      </c>
      <c r="K8" s="6">
        <v>8</v>
      </c>
      <c r="L8" s="4" t="s">
        <v>151</v>
      </c>
      <c r="M8" s="5">
        <v>3.8807999999999998</v>
      </c>
      <c r="N8" s="4" t="s">
        <v>146</v>
      </c>
      <c r="O8" s="4" t="s">
        <v>35</v>
      </c>
      <c r="P8" s="6">
        <v>14</v>
      </c>
      <c r="Q8" s="6">
        <v>314</v>
      </c>
      <c r="R8" s="6">
        <v>24</v>
      </c>
      <c r="S8" s="5">
        <v>1.0851</v>
      </c>
      <c r="T8" s="4" t="s">
        <v>26</v>
      </c>
      <c r="U8" s="1">
        <f>supply_chain_data_1[[#This Row],[Defect_rates2]]/100</f>
        <v>1.0009106193041356E-2</v>
      </c>
      <c r="V8">
        <v>1.0009106193041355</v>
      </c>
      <c r="W8" s="4" t="s">
        <v>44</v>
      </c>
      <c r="X8" s="4" t="s">
        <v>153</v>
      </c>
      <c r="Y8" s="5">
        <v>134.3691</v>
      </c>
      <c r="Z8" s="5">
        <f t="shared" si="0"/>
        <v>5.9090909090909092</v>
      </c>
      <c r="AA8" s="5">
        <f t="shared" si="1"/>
        <v>139.33500000000001</v>
      </c>
      <c r="AB8" s="1">
        <f>IFERROR(supply_chain_data_1[[#This Row],[Actual_Profit]] / F8, 0)</f>
        <v>0.98219014293466411</v>
      </c>
      <c r="AC8" s="5">
        <f>F8 - supply_chain_data_1[[#This Row],[Total_Costs]]</f>
        <v>7684.1415999999999</v>
      </c>
      <c r="AD8" s="5">
        <f t="shared" si="2"/>
        <v>0.65059190254768817</v>
      </c>
      <c r="AE8" s="5">
        <v>7689.1075000000001</v>
      </c>
    </row>
    <row r="9" spans="1:31" x14ac:dyDescent="0.25">
      <c r="A9" s="4" t="s">
        <v>45</v>
      </c>
      <c r="B9" s="4" t="s">
        <v>46</v>
      </c>
      <c r="C9" s="5">
        <v>42.958399999999997</v>
      </c>
      <c r="D9" s="6">
        <v>59</v>
      </c>
      <c r="E9" s="6">
        <v>426</v>
      </c>
      <c r="F9" s="2">
        <v>8496.1038000000008</v>
      </c>
      <c r="G9" s="4" t="s">
        <v>30</v>
      </c>
      <c r="H9" s="6">
        <v>93</v>
      </c>
      <c r="I9" s="6">
        <v>17</v>
      </c>
      <c r="J9" s="6">
        <v>11</v>
      </c>
      <c r="K9" s="6">
        <v>1</v>
      </c>
      <c r="L9" s="4" t="s">
        <v>145</v>
      </c>
      <c r="M9" s="5">
        <v>2.3483000000000001</v>
      </c>
      <c r="N9" s="4" t="s">
        <v>154</v>
      </c>
      <c r="O9" s="4" t="s">
        <v>41</v>
      </c>
      <c r="P9" s="6">
        <v>22</v>
      </c>
      <c r="Q9" s="6">
        <v>564</v>
      </c>
      <c r="R9" s="6">
        <v>1</v>
      </c>
      <c r="S9" s="5">
        <v>99.466099999999997</v>
      </c>
      <c r="T9" s="4" t="s">
        <v>36</v>
      </c>
      <c r="U9" s="1">
        <f>supply_chain_data_1[[#This Row],[Defect_rates2]]/100</f>
        <v>3.9817718685065066E-3</v>
      </c>
      <c r="V9">
        <v>0.39817718685065062</v>
      </c>
      <c r="W9" s="4" t="s">
        <v>27</v>
      </c>
      <c r="X9" s="4" t="s">
        <v>150</v>
      </c>
      <c r="Y9" s="5">
        <v>802.05629999999996</v>
      </c>
      <c r="Z9" s="5">
        <f t="shared" si="0"/>
        <v>4.580645161290323</v>
      </c>
      <c r="AA9" s="5">
        <f t="shared" si="1"/>
        <v>903.87069999999994</v>
      </c>
      <c r="AB9" s="1">
        <f>IFERROR(supply_chain_data_1[[#This Row],[Actual_Profit]] / F9, 0)</f>
        <v>0.8936135055223785</v>
      </c>
      <c r="AC9" s="5">
        <f>F9 - supply_chain_data_1[[#This Row],[Total_Costs]]</f>
        <v>7592.2331000000013</v>
      </c>
      <c r="AD9" s="5">
        <f t="shared" si="2"/>
        <v>1.6962348159837719</v>
      </c>
      <c r="AE9" s="5">
        <v>7694.0474999999997</v>
      </c>
    </row>
    <row r="10" spans="1:31" x14ac:dyDescent="0.25">
      <c r="A10" s="4" t="s">
        <v>45</v>
      </c>
      <c r="B10" s="4" t="s">
        <v>47</v>
      </c>
      <c r="C10" s="5">
        <v>68.717600000000004</v>
      </c>
      <c r="D10" s="6">
        <v>78</v>
      </c>
      <c r="E10" s="6">
        <v>150</v>
      </c>
      <c r="F10" s="2">
        <v>7517.3631999999998</v>
      </c>
      <c r="G10" s="4" t="s">
        <v>30</v>
      </c>
      <c r="H10" s="6">
        <v>5</v>
      </c>
      <c r="I10" s="6">
        <v>10</v>
      </c>
      <c r="J10" s="6">
        <v>15</v>
      </c>
      <c r="K10" s="6">
        <v>7</v>
      </c>
      <c r="L10" s="4" t="s">
        <v>151</v>
      </c>
      <c r="M10" s="5">
        <v>3.4047000000000001</v>
      </c>
      <c r="N10" s="4" t="s">
        <v>154</v>
      </c>
      <c r="O10" s="4" t="s">
        <v>25</v>
      </c>
      <c r="P10" s="6">
        <v>13</v>
      </c>
      <c r="Q10" s="6">
        <v>769</v>
      </c>
      <c r="R10" s="6">
        <v>8</v>
      </c>
      <c r="S10" s="5">
        <v>11.423</v>
      </c>
      <c r="T10" s="4" t="s">
        <v>26</v>
      </c>
      <c r="U10" s="1">
        <f>supply_chain_data_1[[#This Row],[Defect_rates2]]/100</f>
        <v>2.7098626911099613E-2</v>
      </c>
      <c r="V10">
        <v>2.7098626911099615</v>
      </c>
      <c r="W10" s="4" t="s">
        <v>44</v>
      </c>
      <c r="X10" s="4" t="s">
        <v>147</v>
      </c>
      <c r="Y10" s="5">
        <v>505.55709999999999</v>
      </c>
      <c r="Z10" s="5">
        <f t="shared" si="0"/>
        <v>30</v>
      </c>
      <c r="AA10" s="5">
        <f t="shared" si="1"/>
        <v>520.38480000000004</v>
      </c>
      <c r="AB10" s="1">
        <f>IFERROR(supply_chain_data_1[[#This Row],[Actual_Profit]] / F10, 0)</f>
        <v>0.93077562089856192</v>
      </c>
      <c r="AC10" s="5">
        <f>F10 - supply_chain_data_1[[#This Row],[Total_Costs]]</f>
        <v>6996.9784</v>
      </c>
      <c r="AD10" s="5">
        <f t="shared" si="2"/>
        <v>4.0647940366649422</v>
      </c>
      <c r="AE10" s="5">
        <v>7011.8060999999998</v>
      </c>
    </row>
    <row r="11" spans="1:31" x14ac:dyDescent="0.25">
      <c r="A11" s="4" t="s">
        <v>28</v>
      </c>
      <c r="B11" s="4" t="s">
        <v>48</v>
      </c>
      <c r="C11" s="5">
        <v>64.015699999999995</v>
      </c>
      <c r="D11" s="6">
        <v>35</v>
      </c>
      <c r="E11" s="6">
        <v>980</v>
      </c>
      <c r="F11" s="2">
        <v>4971.1459999999997</v>
      </c>
      <c r="G11" s="4" t="s">
        <v>32</v>
      </c>
      <c r="H11" s="6">
        <v>14</v>
      </c>
      <c r="I11" s="6">
        <v>27</v>
      </c>
      <c r="J11" s="6">
        <v>83</v>
      </c>
      <c r="K11" s="6">
        <v>1</v>
      </c>
      <c r="L11" s="4" t="s">
        <v>148</v>
      </c>
      <c r="M11" s="5">
        <v>7.1665999999999999</v>
      </c>
      <c r="N11" s="4" t="s">
        <v>155</v>
      </c>
      <c r="O11" s="4" t="s">
        <v>49</v>
      </c>
      <c r="P11" s="6">
        <v>29</v>
      </c>
      <c r="Q11" s="6">
        <v>963</v>
      </c>
      <c r="R11" s="6">
        <v>23</v>
      </c>
      <c r="S11" s="5">
        <v>47.957599999999999</v>
      </c>
      <c r="T11" s="4" t="s">
        <v>26</v>
      </c>
      <c r="U11" s="1">
        <f>supply_chain_data_1[[#This Row],[Defect_rates2]]/100</f>
        <v>3.844614478767585E-2</v>
      </c>
      <c r="V11">
        <v>3.8446144787675851</v>
      </c>
      <c r="W11" s="4" t="s">
        <v>37</v>
      </c>
      <c r="X11" s="4" t="s">
        <v>147</v>
      </c>
      <c r="Y11" s="5">
        <v>995.92949999999996</v>
      </c>
      <c r="Z11" s="5">
        <f t="shared" si="0"/>
        <v>70</v>
      </c>
      <c r="AA11" s="5">
        <f t="shared" si="1"/>
        <v>1051.0536999999999</v>
      </c>
      <c r="AB11" s="1">
        <f>IFERROR(supply_chain_data_1[[#This Row],[Actual_Profit]] / F11, 0)</f>
        <v>0.7885691347628897</v>
      </c>
      <c r="AC11" s="5">
        <f>F11 - supply_chain_data_1[[#This Row],[Total_Costs]]</f>
        <v>3920.0922999999998</v>
      </c>
      <c r="AD11" s="5">
        <f t="shared" si="2"/>
        <v>37.677221891922329</v>
      </c>
      <c r="AE11" s="5">
        <v>3975.2165</v>
      </c>
    </row>
    <row r="12" spans="1:31" x14ac:dyDescent="0.25">
      <c r="A12" s="4" t="s">
        <v>28</v>
      </c>
      <c r="B12" s="4" t="s">
        <v>50</v>
      </c>
      <c r="C12" s="5">
        <v>15.707800000000001</v>
      </c>
      <c r="D12" s="6">
        <v>11</v>
      </c>
      <c r="E12" s="6">
        <v>996</v>
      </c>
      <c r="F12" s="2">
        <v>2330.9657999999999</v>
      </c>
      <c r="G12" s="4" t="s">
        <v>24</v>
      </c>
      <c r="H12" s="6">
        <v>51</v>
      </c>
      <c r="I12" s="6">
        <v>13</v>
      </c>
      <c r="J12" s="6">
        <v>80</v>
      </c>
      <c r="K12" s="6">
        <v>2</v>
      </c>
      <c r="L12" s="4" t="s">
        <v>151</v>
      </c>
      <c r="M12" s="5">
        <v>8.6731999999999996</v>
      </c>
      <c r="N12" s="4" t="s">
        <v>152</v>
      </c>
      <c r="O12" s="4" t="s">
        <v>35</v>
      </c>
      <c r="P12" s="6">
        <v>18</v>
      </c>
      <c r="Q12" s="6">
        <v>830</v>
      </c>
      <c r="R12" s="6">
        <v>5</v>
      </c>
      <c r="S12" s="5">
        <v>96.5274</v>
      </c>
      <c r="T12" s="4" t="s">
        <v>51</v>
      </c>
      <c r="U12" s="1">
        <f>supply_chain_data_1[[#This Row],[Defect_rates2]]/100</f>
        <v>1.7273139283559426E-2</v>
      </c>
      <c r="V12">
        <v>1.7273139283559424</v>
      </c>
      <c r="W12" s="4" t="s">
        <v>27</v>
      </c>
      <c r="X12" s="4" t="s">
        <v>147</v>
      </c>
      <c r="Y12" s="5">
        <v>806.10320000000002</v>
      </c>
      <c r="Z12" s="5">
        <f t="shared" si="0"/>
        <v>19.529411764705884</v>
      </c>
      <c r="AA12" s="5">
        <f t="shared" si="1"/>
        <v>911.30380000000002</v>
      </c>
      <c r="AB12" s="1">
        <f>IFERROR(supply_chain_data_1[[#This Row],[Actual_Profit]] / F12, 0)</f>
        <v>0.60904454282426612</v>
      </c>
      <c r="AC12" s="5">
        <f>F12 - supply_chain_data_1[[#This Row],[Total_Costs]]</f>
        <v>1419.6619999999998</v>
      </c>
      <c r="AD12" s="5">
        <f t="shared" si="2"/>
        <v>17.204046726425187</v>
      </c>
      <c r="AE12" s="5">
        <v>1524.8625999999999</v>
      </c>
    </row>
    <row r="13" spans="1:31" x14ac:dyDescent="0.25">
      <c r="A13" s="4" t="s">
        <v>28</v>
      </c>
      <c r="B13" s="4" t="s">
        <v>52</v>
      </c>
      <c r="C13" s="5">
        <v>90.635499999999993</v>
      </c>
      <c r="D13" s="6">
        <v>95</v>
      </c>
      <c r="E13" s="6">
        <v>960</v>
      </c>
      <c r="F13" s="2">
        <v>6099.9440999999997</v>
      </c>
      <c r="G13" s="4" t="s">
        <v>30</v>
      </c>
      <c r="H13" s="6">
        <v>46</v>
      </c>
      <c r="I13" s="6">
        <v>23</v>
      </c>
      <c r="J13" s="6">
        <v>60</v>
      </c>
      <c r="K13" s="6">
        <v>1</v>
      </c>
      <c r="L13" s="4" t="s">
        <v>148</v>
      </c>
      <c r="M13" s="5">
        <v>4.5239000000000003</v>
      </c>
      <c r="N13" s="4" t="s">
        <v>155</v>
      </c>
      <c r="O13" s="4" t="s">
        <v>35</v>
      </c>
      <c r="P13" s="6">
        <v>28</v>
      </c>
      <c r="Q13" s="6">
        <v>362</v>
      </c>
      <c r="R13" s="6">
        <v>11</v>
      </c>
      <c r="S13" s="5">
        <v>27.592400000000001</v>
      </c>
      <c r="T13" s="4" t="s">
        <v>26</v>
      </c>
      <c r="U13" s="1">
        <f>supply_chain_data_1[[#This Row],[Defect_rates2]]/100</f>
        <v>2.1169821372994392E-4</v>
      </c>
      <c r="V13">
        <v>2.1169821372994391E-2</v>
      </c>
      <c r="W13" s="4" t="s">
        <v>33</v>
      </c>
      <c r="X13" s="4" t="s">
        <v>153</v>
      </c>
      <c r="Y13" s="5">
        <v>126.723</v>
      </c>
      <c r="Z13" s="5">
        <f t="shared" si="0"/>
        <v>20.869565217391305</v>
      </c>
      <c r="AA13" s="5">
        <f t="shared" si="1"/>
        <v>158.83930000000001</v>
      </c>
      <c r="AB13" s="1">
        <f>IFERROR(supply_chain_data_1[[#This Row],[Actual_Profit]] / F13, 0)</f>
        <v>0.97396053186782483</v>
      </c>
      <c r="AC13" s="5">
        <f>F13 - supply_chain_data_1[[#This Row],[Total_Costs]]</f>
        <v>5941.1048000000001</v>
      </c>
      <c r="AD13" s="5">
        <f t="shared" si="2"/>
        <v>0.20323028518074615</v>
      </c>
      <c r="AE13" s="5">
        <v>5973.2210999999998</v>
      </c>
    </row>
    <row r="14" spans="1:31" x14ac:dyDescent="0.25">
      <c r="A14" s="4" t="s">
        <v>22</v>
      </c>
      <c r="B14" s="4" t="s">
        <v>53</v>
      </c>
      <c r="C14" s="5">
        <v>71.213399999999993</v>
      </c>
      <c r="D14" s="6">
        <v>41</v>
      </c>
      <c r="E14" s="6">
        <v>336</v>
      </c>
      <c r="F14" s="2">
        <v>2873.7413999999999</v>
      </c>
      <c r="G14" s="4" t="s">
        <v>32</v>
      </c>
      <c r="H14" s="6">
        <v>100</v>
      </c>
      <c r="I14" s="6">
        <v>30</v>
      </c>
      <c r="J14" s="6">
        <v>85</v>
      </c>
      <c r="K14" s="6">
        <v>4</v>
      </c>
      <c r="L14" s="4" t="s">
        <v>148</v>
      </c>
      <c r="M14" s="5">
        <v>1.3252999999999999</v>
      </c>
      <c r="N14" s="4" t="s">
        <v>154</v>
      </c>
      <c r="O14" s="4" t="s">
        <v>35</v>
      </c>
      <c r="P14" s="6">
        <v>3</v>
      </c>
      <c r="Q14" s="6">
        <v>563</v>
      </c>
      <c r="R14" s="6">
        <v>3</v>
      </c>
      <c r="S14" s="5">
        <v>32.321300000000001</v>
      </c>
      <c r="T14" s="4" t="s">
        <v>36</v>
      </c>
      <c r="U14" s="1">
        <f>supply_chain_data_1[[#This Row],[Defect_rates2]]/100</f>
        <v>2.1612537475559118E-2</v>
      </c>
      <c r="V14">
        <v>2.1612537475559117</v>
      </c>
      <c r="W14" s="4" t="s">
        <v>27</v>
      </c>
      <c r="X14" s="4" t="s">
        <v>147</v>
      </c>
      <c r="Y14" s="5">
        <v>402.96879999999999</v>
      </c>
      <c r="Z14" s="5">
        <f t="shared" si="0"/>
        <v>3.36</v>
      </c>
      <c r="AA14" s="5">
        <f t="shared" si="1"/>
        <v>436.61539999999997</v>
      </c>
      <c r="AB14" s="1">
        <f>IFERROR(supply_chain_data_1[[#This Row],[Actual_Profit]] / F14, 0)</f>
        <v>0.84806726172368885</v>
      </c>
      <c r="AC14" s="5">
        <f>F14 - supply_chain_data_1[[#This Row],[Total_Costs]]</f>
        <v>2437.1259999999997</v>
      </c>
      <c r="AD14" s="5">
        <f t="shared" si="2"/>
        <v>7.2618125917878631</v>
      </c>
      <c r="AE14" s="5">
        <v>2470.7725999999998</v>
      </c>
    </row>
    <row r="15" spans="1:31" x14ac:dyDescent="0.25">
      <c r="A15" s="4" t="s">
        <v>28</v>
      </c>
      <c r="B15" s="4" t="s">
        <v>54</v>
      </c>
      <c r="C15" s="5">
        <v>16.160399999999999</v>
      </c>
      <c r="D15" s="6">
        <v>5</v>
      </c>
      <c r="E15" s="6">
        <v>249</v>
      </c>
      <c r="F15" s="2">
        <v>4052.7384000000002</v>
      </c>
      <c r="G15" s="4" t="s">
        <v>43</v>
      </c>
      <c r="H15" s="6">
        <v>80</v>
      </c>
      <c r="I15" s="6">
        <v>8</v>
      </c>
      <c r="J15" s="6">
        <v>48</v>
      </c>
      <c r="K15" s="6">
        <v>9</v>
      </c>
      <c r="L15" s="4" t="s">
        <v>148</v>
      </c>
      <c r="M15" s="5">
        <v>9.5373000000000001</v>
      </c>
      <c r="N15" s="4" t="s">
        <v>152</v>
      </c>
      <c r="O15" s="4" t="s">
        <v>41</v>
      </c>
      <c r="P15" s="6">
        <v>23</v>
      </c>
      <c r="Q15" s="6">
        <v>173</v>
      </c>
      <c r="R15" s="6">
        <v>10</v>
      </c>
      <c r="S15" s="5">
        <v>97.829099999999997</v>
      </c>
      <c r="T15" s="4" t="s">
        <v>26</v>
      </c>
      <c r="U15" s="1">
        <f>supply_chain_data_1[[#This Row],[Defect_rates2]]/100</f>
        <v>1.6310742300715386E-2</v>
      </c>
      <c r="V15">
        <v>1.6310742300715386</v>
      </c>
      <c r="W15" s="4" t="s">
        <v>27</v>
      </c>
      <c r="X15" s="4" t="s">
        <v>147</v>
      </c>
      <c r="Y15" s="5">
        <v>547.24099999999999</v>
      </c>
      <c r="Z15" s="5">
        <f t="shared" si="0"/>
        <v>3.1124999999999998</v>
      </c>
      <c r="AA15" s="5">
        <f t="shared" si="1"/>
        <v>654.60739999999998</v>
      </c>
      <c r="AB15" s="1">
        <f>IFERROR(supply_chain_data_1[[#This Row],[Actual_Profit]] / F15, 0)</f>
        <v>0.83847775617592302</v>
      </c>
      <c r="AC15" s="5">
        <f>F15 - supply_chain_data_1[[#This Row],[Total_Costs]]</f>
        <v>3398.1310000000003</v>
      </c>
      <c r="AD15" s="5">
        <f t="shared" si="2"/>
        <v>4.0613748328781316</v>
      </c>
      <c r="AE15" s="5">
        <v>3505.4974000000002</v>
      </c>
    </row>
    <row r="16" spans="1:31" x14ac:dyDescent="0.25">
      <c r="A16" s="4" t="s">
        <v>28</v>
      </c>
      <c r="B16" s="4" t="s">
        <v>55</v>
      </c>
      <c r="C16" s="5">
        <v>99.171300000000002</v>
      </c>
      <c r="D16" s="6">
        <v>26</v>
      </c>
      <c r="E16" s="6">
        <v>562</v>
      </c>
      <c r="F16" s="2">
        <v>8653.5709000000006</v>
      </c>
      <c r="G16" s="4" t="s">
        <v>24</v>
      </c>
      <c r="H16" s="6">
        <v>54</v>
      </c>
      <c r="I16" s="6">
        <v>29</v>
      </c>
      <c r="J16" s="6">
        <v>78</v>
      </c>
      <c r="K16" s="6">
        <v>5</v>
      </c>
      <c r="L16" s="4" t="s">
        <v>145</v>
      </c>
      <c r="M16" s="5">
        <v>2.0398000000000001</v>
      </c>
      <c r="N16" s="4" t="s">
        <v>149</v>
      </c>
      <c r="O16" s="4" t="s">
        <v>35</v>
      </c>
      <c r="P16" s="6">
        <v>25</v>
      </c>
      <c r="Q16" s="6">
        <v>558</v>
      </c>
      <c r="R16" s="6">
        <v>14</v>
      </c>
      <c r="S16" s="5">
        <v>5.7914000000000003</v>
      </c>
      <c r="T16" s="4" t="s">
        <v>26</v>
      </c>
      <c r="U16" s="1">
        <f>supply_chain_data_1[[#This Row],[Defect_rates2]]/100</f>
        <v>1.0068285156509373E-3</v>
      </c>
      <c r="V16">
        <v>0.10068285156509373</v>
      </c>
      <c r="W16" s="4" t="s">
        <v>33</v>
      </c>
      <c r="X16" s="4" t="s">
        <v>147</v>
      </c>
      <c r="Y16" s="5">
        <v>929.23530000000005</v>
      </c>
      <c r="Z16" s="5">
        <f t="shared" si="0"/>
        <v>10.407407407407407</v>
      </c>
      <c r="AA16" s="5">
        <f t="shared" si="1"/>
        <v>937.06650000000002</v>
      </c>
      <c r="AB16" s="1">
        <f>IFERROR(supply_chain_data_1[[#This Row],[Actual_Profit]] / F16, 0)</f>
        <v>0.89171331571340107</v>
      </c>
      <c r="AC16" s="5">
        <f>F16 - supply_chain_data_1[[#This Row],[Total_Costs]]</f>
        <v>7716.5044000000007</v>
      </c>
      <c r="AD16" s="5">
        <f t="shared" si="2"/>
        <v>0.56583762579582675</v>
      </c>
      <c r="AE16" s="5">
        <v>7724.3356000000003</v>
      </c>
    </row>
    <row r="17" spans="1:31" x14ac:dyDescent="0.25">
      <c r="A17" s="4" t="s">
        <v>28</v>
      </c>
      <c r="B17" s="4" t="s">
        <v>56</v>
      </c>
      <c r="C17" s="5">
        <v>36.989199999999997</v>
      </c>
      <c r="D17" s="6">
        <v>94</v>
      </c>
      <c r="E17" s="6">
        <v>469</v>
      </c>
      <c r="F17" s="2">
        <v>5442.0868</v>
      </c>
      <c r="G17" s="4" t="s">
        <v>24</v>
      </c>
      <c r="H17" s="6">
        <v>9</v>
      </c>
      <c r="I17" s="6">
        <v>8</v>
      </c>
      <c r="J17" s="6">
        <v>69</v>
      </c>
      <c r="K17" s="6">
        <v>7</v>
      </c>
      <c r="L17" s="4" t="s">
        <v>145</v>
      </c>
      <c r="M17" s="5">
        <v>2.4220000000000002</v>
      </c>
      <c r="N17" s="4" t="s">
        <v>149</v>
      </c>
      <c r="O17" s="4" t="s">
        <v>41</v>
      </c>
      <c r="P17" s="6">
        <v>14</v>
      </c>
      <c r="Q17" s="6">
        <v>580</v>
      </c>
      <c r="R17" s="6">
        <v>7</v>
      </c>
      <c r="S17" s="5">
        <v>97.121300000000005</v>
      </c>
      <c r="T17" s="4" t="s">
        <v>51</v>
      </c>
      <c r="U17" s="1">
        <f>supply_chain_data_1[[#This Row],[Defect_rates2]]/100</f>
        <v>2.2644057611985492E-2</v>
      </c>
      <c r="V17">
        <v>2.2644057611985491</v>
      </c>
      <c r="W17" s="4" t="s">
        <v>44</v>
      </c>
      <c r="X17" s="4" t="s">
        <v>147</v>
      </c>
      <c r="Y17" s="5">
        <v>127.8618</v>
      </c>
      <c r="Z17" s="5">
        <f t="shared" si="0"/>
        <v>52.111111111111114</v>
      </c>
      <c r="AA17" s="5">
        <f t="shared" si="1"/>
        <v>227.4051</v>
      </c>
      <c r="AB17" s="1">
        <f>IFERROR(supply_chain_data_1[[#This Row],[Actual_Profit]] / F17, 0)</f>
        <v>0.95821362128953913</v>
      </c>
      <c r="AC17" s="5">
        <f>F17 - supply_chain_data_1[[#This Row],[Total_Costs]]</f>
        <v>5214.6817000000001</v>
      </c>
      <c r="AD17" s="5">
        <f t="shared" si="2"/>
        <v>10.620063020021195</v>
      </c>
      <c r="AE17" s="5">
        <v>5314.2250000000004</v>
      </c>
    </row>
    <row r="18" spans="1:31" x14ac:dyDescent="0.25">
      <c r="A18" s="4" t="s">
        <v>28</v>
      </c>
      <c r="B18" s="4" t="s">
        <v>57</v>
      </c>
      <c r="C18" s="5">
        <v>7.5472000000000001</v>
      </c>
      <c r="D18" s="6">
        <v>74</v>
      </c>
      <c r="E18" s="6">
        <v>280</v>
      </c>
      <c r="F18" s="2">
        <v>6453.7979999999998</v>
      </c>
      <c r="G18" s="4" t="s">
        <v>30</v>
      </c>
      <c r="H18" s="6">
        <v>2</v>
      </c>
      <c r="I18" s="6">
        <v>5</v>
      </c>
      <c r="J18" s="6">
        <v>78</v>
      </c>
      <c r="K18" s="6">
        <v>1</v>
      </c>
      <c r="L18" s="4" t="s">
        <v>145</v>
      </c>
      <c r="M18" s="5">
        <v>4.1913</v>
      </c>
      <c r="N18" s="4" t="s">
        <v>149</v>
      </c>
      <c r="O18" s="4" t="s">
        <v>41</v>
      </c>
      <c r="P18" s="6">
        <v>3</v>
      </c>
      <c r="Q18" s="6">
        <v>399</v>
      </c>
      <c r="R18" s="6">
        <v>21</v>
      </c>
      <c r="S18" s="5">
        <v>77.106300000000005</v>
      </c>
      <c r="T18" s="4" t="s">
        <v>51</v>
      </c>
      <c r="U18" s="1">
        <f>supply_chain_data_1[[#This Row],[Defect_rates2]]/100</f>
        <v>1.012563089258049E-2</v>
      </c>
      <c r="V18">
        <v>1.0125630892580491</v>
      </c>
      <c r="W18" s="4" t="s">
        <v>33</v>
      </c>
      <c r="X18" s="4" t="s">
        <v>153</v>
      </c>
      <c r="Y18" s="5">
        <v>865.5258</v>
      </c>
      <c r="Z18" s="5">
        <f t="shared" si="0"/>
        <v>140</v>
      </c>
      <c r="AA18" s="5">
        <f t="shared" si="1"/>
        <v>946.82339999999999</v>
      </c>
      <c r="AB18" s="1">
        <f>IFERROR(supply_chain_data_1[[#This Row],[Actual_Profit]] / F18, 0)</f>
        <v>0.85329206151168657</v>
      </c>
      <c r="AC18" s="5">
        <f>F18 - supply_chain_data_1[[#This Row],[Total_Costs]]</f>
        <v>5506.9745999999996</v>
      </c>
      <c r="AD18" s="5">
        <f t="shared" si="2"/>
        <v>2.8351766499225373</v>
      </c>
      <c r="AE18" s="5">
        <v>5588.2722000000003</v>
      </c>
    </row>
    <row r="19" spans="1:31" x14ac:dyDescent="0.25">
      <c r="A19" s="4" t="s">
        <v>45</v>
      </c>
      <c r="B19" s="4" t="s">
        <v>58</v>
      </c>
      <c r="C19" s="5">
        <v>81.462500000000006</v>
      </c>
      <c r="D19" s="6">
        <v>82</v>
      </c>
      <c r="E19" s="6">
        <v>126</v>
      </c>
      <c r="F19" s="2">
        <v>2629.3964000000001</v>
      </c>
      <c r="G19" s="4" t="s">
        <v>30</v>
      </c>
      <c r="H19" s="6">
        <v>45</v>
      </c>
      <c r="I19" s="6">
        <v>17</v>
      </c>
      <c r="J19" s="6">
        <v>85</v>
      </c>
      <c r="K19" s="6">
        <v>9</v>
      </c>
      <c r="L19" s="4" t="s">
        <v>151</v>
      </c>
      <c r="M19" s="5">
        <v>3.5853999999999999</v>
      </c>
      <c r="N19" s="4" t="s">
        <v>149</v>
      </c>
      <c r="O19" s="4" t="s">
        <v>49</v>
      </c>
      <c r="P19" s="6">
        <v>7</v>
      </c>
      <c r="Q19" s="6">
        <v>453</v>
      </c>
      <c r="R19" s="6">
        <v>16</v>
      </c>
      <c r="S19" s="5">
        <v>47.679699999999997</v>
      </c>
      <c r="T19" s="4" t="s">
        <v>36</v>
      </c>
      <c r="U19" s="1">
        <f>supply_chain_data_1[[#This Row],[Defect_rates2]]/100</f>
        <v>1.0202075491817621E-3</v>
      </c>
      <c r="V19">
        <v>0.10202075491817621</v>
      </c>
      <c r="W19" s="4" t="s">
        <v>33</v>
      </c>
      <c r="X19" s="4" t="s">
        <v>150</v>
      </c>
      <c r="Y19" s="5">
        <v>670.93439999999998</v>
      </c>
      <c r="Z19" s="5">
        <f t="shared" si="0"/>
        <v>2.8</v>
      </c>
      <c r="AA19" s="5">
        <f t="shared" si="1"/>
        <v>722.19949999999994</v>
      </c>
      <c r="AB19" s="1">
        <f>IFERROR(supply_chain_data_1[[#This Row],[Actual_Profit]] / F19, 0)</f>
        <v>0.72533639279341833</v>
      </c>
      <c r="AC19" s="5">
        <f>F19 - supply_chain_data_1[[#This Row],[Total_Costs]]</f>
        <v>1907.1969000000001</v>
      </c>
      <c r="AD19" s="5">
        <f t="shared" si="2"/>
        <v>0.12854615119690202</v>
      </c>
      <c r="AE19" s="5">
        <v>1958.462</v>
      </c>
    </row>
    <row r="20" spans="1:31" x14ac:dyDescent="0.25">
      <c r="A20" s="4" t="s">
        <v>22</v>
      </c>
      <c r="B20" s="4" t="s">
        <v>59</v>
      </c>
      <c r="C20" s="5">
        <v>36.443600000000004</v>
      </c>
      <c r="D20" s="6">
        <v>23</v>
      </c>
      <c r="E20" s="6">
        <v>620</v>
      </c>
      <c r="F20" s="2">
        <v>9364.6735000000008</v>
      </c>
      <c r="G20" s="4" t="s">
        <v>32</v>
      </c>
      <c r="H20" s="6">
        <v>10</v>
      </c>
      <c r="I20" s="6">
        <v>10</v>
      </c>
      <c r="J20" s="6">
        <v>46</v>
      </c>
      <c r="K20" s="6">
        <v>8</v>
      </c>
      <c r="L20" s="4" t="s">
        <v>151</v>
      </c>
      <c r="M20" s="5">
        <v>4.3391999999999999</v>
      </c>
      <c r="N20" s="4" t="s">
        <v>155</v>
      </c>
      <c r="O20" s="4" t="s">
        <v>35</v>
      </c>
      <c r="P20" s="6">
        <v>18</v>
      </c>
      <c r="Q20" s="6">
        <v>374</v>
      </c>
      <c r="R20" s="6">
        <v>17</v>
      </c>
      <c r="S20" s="5">
        <v>27.108000000000001</v>
      </c>
      <c r="T20" s="4" t="s">
        <v>26</v>
      </c>
      <c r="U20" s="1">
        <f>supply_chain_data_1[[#This Row],[Defect_rates2]]/100</f>
        <v>2.2319391107292638E-2</v>
      </c>
      <c r="V20">
        <v>2.2319391107292637</v>
      </c>
      <c r="W20" s="4" t="s">
        <v>44</v>
      </c>
      <c r="X20" s="4" t="s">
        <v>153</v>
      </c>
      <c r="Y20" s="5">
        <v>593.48030000000006</v>
      </c>
      <c r="Z20" s="5">
        <f t="shared" si="0"/>
        <v>62</v>
      </c>
      <c r="AA20" s="5">
        <f t="shared" si="1"/>
        <v>624.92750000000001</v>
      </c>
      <c r="AB20" s="1">
        <f>IFERROR(supply_chain_data_1[[#This Row],[Actual_Profit]] / F20, 0)</f>
        <v>0.93326756133035504</v>
      </c>
      <c r="AC20" s="5">
        <f>F20 - supply_chain_data_1[[#This Row],[Total_Costs]]</f>
        <v>8739.746000000001</v>
      </c>
      <c r="AD20" s="5">
        <f t="shared" si="2"/>
        <v>13.838022486521435</v>
      </c>
      <c r="AE20" s="5">
        <v>8771.1931999999997</v>
      </c>
    </row>
    <row r="21" spans="1:31" x14ac:dyDescent="0.25">
      <c r="A21" s="4" t="s">
        <v>28</v>
      </c>
      <c r="B21" s="4" t="s">
        <v>60</v>
      </c>
      <c r="C21" s="5">
        <v>51.123899999999999</v>
      </c>
      <c r="D21" s="6">
        <v>100</v>
      </c>
      <c r="E21" s="6">
        <v>187</v>
      </c>
      <c r="F21" s="2">
        <v>2553.4956000000002</v>
      </c>
      <c r="G21" s="4" t="s">
        <v>32</v>
      </c>
      <c r="H21" s="6">
        <v>48</v>
      </c>
      <c r="I21" s="6">
        <v>11</v>
      </c>
      <c r="J21" s="6">
        <v>94</v>
      </c>
      <c r="K21" s="6">
        <v>3</v>
      </c>
      <c r="L21" s="4" t="s">
        <v>148</v>
      </c>
      <c r="M21" s="5">
        <v>4.7426000000000004</v>
      </c>
      <c r="N21" s="4" t="s">
        <v>154</v>
      </c>
      <c r="O21" s="4" t="s">
        <v>49</v>
      </c>
      <c r="P21" s="6">
        <v>20</v>
      </c>
      <c r="Q21" s="6">
        <v>694</v>
      </c>
      <c r="R21" s="6">
        <v>16</v>
      </c>
      <c r="S21" s="5">
        <v>82.3733</v>
      </c>
      <c r="T21" s="4" t="s">
        <v>36</v>
      </c>
      <c r="U21" s="1">
        <f>supply_chain_data_1[[#This Row],[Defect_rates2]]/100</f>
        <v>3.6464508654170301E-2</v>
      </c>
      <c r="V21">
        <v>3.6464508654170298</v>
      </c>
      <c r="W21" s="4" t="s">
        <v>27</v>
      </c>
      <c r="X21" s="4" t="s">
        <v>150</v>
      </c>
      <c r="Y21" s="5">
        <v>477.30759999999998</v>
      </c>
      <c r="Z21" s="5">
        <f t="shared" si="0"/>
        <v>3.8958333333333335</v>
      </c>
      <c r="AA21" s="5">
        <f t="shared" si="1"/>
        <v>564.42349999999999</v>
      </c>
      <c r="AB21" s="1">
        <f>IFERROR(supply_chain_data_1[[#This Row],[Actual_Profit]] / F21, 0)</f>
        <v>0.77896045718661122</v>
      </c>
      <c r="AC21" s="5">
        <f>F21 - supply_chain_data_1[[#This Row],[Total_Costs]]</f>
        <v>1989.0721000000003</v>
      </c>
      <c r="AD21" s="5">
        <f t="shared" si="2"/>
        <v>6.8188631183298467</v>
      </c>
      <c r="AE21" s="5">
        <v>2076.1880000000001</v>
      </c>
    </row>
    <row r="22" spans="1:31" x14ac:dyDescent="0.25">
      <c r="A22" s="4" t="s">
        <v>28</v>
      </c>
      <c r="B22" s="4" t="s">
        <v>61</v>
      </c>
      <c r="C22" s="5">
        <v>96.341099999999997</v>
      </c>
      <c r="D22" s="6">
        <v>22</v>
      </c>
      <c r="E22" s="6">
        <v>320</v>
      </c>
      <c r="F22" s="2">
        <v>8128.0276999999996</v>
      </c>
      <c r="G22" s="4" t="s">
        <v>32</v>
      </c>
      <c r="H22" s="6">
        <v>27</v>
      </c>
      <c r="I22" s="6">
        <v>12</v>
      </c>
      <c r="J22" s="6">
        <v>68</v>
      </c>
      <c r="K22" s="6">
        <v>6</v>
      </c>
      <c r="L22" s="4" t="s">
        <v>148</v>
      </c>
      <c r="M22" s="5">
        <v>8.8782999999999994</v>
      </c>
      <c r="N22" s="4" t="s">
        <v>149</v>
      </c>
      <c r="O22" s="4" t="s">
        <v>49</v>
      </c>
      <c r="P22" s="6">
        <v>29</v>
      </c>
      <c r="Q22" s="6">
        <v>309</v>
      </c>
      <c r="R22" s="6">
        <v>6</v>
      </c>
      <c r="S22" s="5">
        <v>65.686300000000003</v>
      </c>
      <c r="T22" s="4" t="s">
        <v>51</v>
      </c>
      <c r="U22" s="1">
        <f>supply_chain_data_1[[#This Row],[Defect_rates2]]/100</f>
        <v>4.231416573534539E-2</v>
      </c>
      <c r="V22">
        <v>4.2314165735345393</v>
      </c>
      <c r="W22" s="4" t="s">
        <v>33</v>
      </c>
      <c r="X22" s="4" t="s">
        <v>147</v>
      </c>
      <c r="Y22" s="5">
        <v>493.87119999999999</v>
      </c>
      <c r="Z22" s="5">
        <f t="shared" si="0"/>
        <v>11.851851851851851</v>
      </c>
      <c r="AA22" s="5">
        <f t="shared" si="1"/>
        <v>568.43579999999997</v>
      </c>
      <c r="AB22" s="1">
        <f>IFERROR(supply_chain_data_1[[#This Row],[Actual_Profit]] / F22, 0)</f>
        <v>0.93006473144770407</v>
      </c>
      <c r="AC22" s="5">
        <f>F22 - supply_chain_data_1[[#This Row],[Total_Costs]]</f>
        <v>7559.5918999999994</v>
      </c>
      <c r="AD22" s="5">
        <f t="shared" si="2"/>
        <v>13.540533035310524</v>
      </c>
      <c r="AE22" s="5">
        <v>7634.1565000000001</v>
      </c>
    </row>
    <row r="23" spans="1:31" x14ac:dyDescent="0.25">
      <c r="A23" s="4" t="s">
        <v>45</v>
      </c>
      <c r="B23" s="4" t="s">
        <v>62</v>
      </c>
      <c r="C23" s="5">
        <v>84.893900000000002</v>
      </c>
      <c r="D23" s="6">
        <v>60</v>
      </c>
      <c r="E23" s="6">
        <v>601</v>
      </c>
      <c r="F23" s="2">
        <v>7087.0527000000002</v>
      </c>
      <c r="G23" s="4" t="s">
        <v>32</v>
      </c>
      <c r="H23" s="6">
        <v>69</v>
      </c>
      <c r="I23" s="6">
        <v>25</v>
      </c>
      <c r="J23" s="6">
        <v>7</v>
      </c>
      <c r="K23" s="6">
        <v>6</v>
      </c>
      <c r="L23" s="4" t="s">
        <v>145</v>
      </c>
      <c r="M23" s="5">
        <v>6.0378999999999996</v>
      </c>
      <c r="N23" s="4" t="s">
        <v>152</v>
      </c>
      <c r="O23" s="4" t="s">
        <v>49</v>
      </c>
      <c r="P23" s="6">
        <v>19</v>
      </c>
      <c r="Q23" s="6">
        <v>791</v>
      </c>
      <c r="R23" s="6">
        <v>4</v>
      </c>
      <c r="S23" s="5">
        <v>61.735700000000001</v>
      </c>
      <c r="T23" s="4" t="s">
        <v>26</v>
      </c>
      <c r="U23" s="1">
        <f>supply_chain_data_1[[#This Row],[Defect_rates2]]/100</f>
        <v>1.8607567631014898E-4</v>
      </c>
      <c r="V23">
        <v>1.8607567631014899E-2</v>
      </c>
      <c r="W23" s="4" t="s">
        <v>33</v>
      </c>
      <c r="X23" s="4" t="s">
        <v>150</v>
      </c>
      <c r="Y23" s="5">
        <v>523.36090000000002</v>
      </c>
      <c r="Z23" s="5">
        <f t="shared" si="0"/>
        <v>8.7101449275362324</v>
      </c>
      <c r="AA23" s="5">
        <f t="shared" si="1"/>
        <v>591.1345</v>
      </c>
      <c r="AB23" s="1">
        <f>IFERROR(supply_chain_data_1[[#This Row],[Actual_Profit]] / F23, 0)</f>
        <v>0.91658951541308564</v>
      </c>
      <c r="AC23" s="5">
        <f>F23 - supply_chain_data_1[[#This Row],[Total_Costs]]</f>
        <v>6495.9182000000001</v>
      </c>
      <c r="AD23" s="5">
        <f t="shared" si="2"/>
        <v>0.11183148146239953</v>
      </c>
      <c r="AE23" s="5">
        <v>6563.6917999999996</v>
      </c>
    </row>
    <row r="24" spans="1:31" x14ac:dyDescent="0.25">
      <c r="A24" s="4" t="s">
        <v>22</v>
      </c>
      <c r="B24" s="4" t="s">
        <v>63</v>
      </c>
      <c r="C24" s="5">
        <v>27.6798</v>
      </c>
      <c r="D24" s="6">
        <v>55</v>
      </c>
      <c r="E24" s="6">
        <v>884</v>
      </c>
      <c r="F24" s="2">
        <v>2390.8078999999998</v>
      </c>
      <c r="G24" s="4" t="s">
        <v>32</v>
      </c>
      <c r="H24" s="6">
        <v>71</v>
      </c>
      <c r="I24" s="6">
        <v>1</v>
      </c>
      <c r="J24" s="6">
        <v>63</v>
      </c>
      <c r="K24" s="6">
        <v>10</v>
      </c>
      <c r="L24" s="4" t="s">
        <v>148</v>
      </c>
      <c r="M24" s="5">
        <v>9.5676000000000005</v>
      </c>
      <c r="N24" s="4" t="s">
        <v>154</v>
      </c>
      <c r="O24" s="4" t="s">
        <v>35</v>
      </c>
      <c r="P24" s="6">
        <v>22</v>
      </c>
      <c r="Q24" s="6">
        <v>780</v>
      </c>
      <c r="R24" s="6">
        <v>28</v>
      </c>
      <c r="S24" s="5">
        <v>50.120800000000003</v>
      </c>
      <c r="T24" s="4" t="s">
        <v>36</v>
      </c>
      <c r="U24" s="1">
        <f>supply_chain_data_1[[#This Row],[Defect_rates2]]/100</f>
        <v>2.591275473211116E-2</v>
      </c>
      <c r="V24">
        <v>2.5912754732111161</v>
      </c>
      <c r="W24" s="4" t="s">
        <v>37</v>
      </c>
      <c r="X24" s="4" t="s">
        <v>150</v>
      </c>
      <c r="Y24" s="5">
        <v>205.572</v>
      </c>
      <c r="Z24" s="5">
        <f t="shared" si="0"/>
        <v>12.450704225352112</v>
      </c>
      <c r="AA24" s="5">
        <f t="shared" si="1"/>
        <v>265.2604</v>
      </c>
      <c r="AB24" s="1">
        <f>IFERROR(supply_chain_data_1[[#This Row],[Actual_Profit]] / F24, 0)</f>
        <v>0.88904988978830124</v>
      </c>
      <c r="AC24" s="5">
        <f>F24 - supply_chain_data_1[[#This Row],[Total_Costs]]</f>
        <v>2125.5474999999997</v>
      </c>
      <c r="AD24" s="5">
        <f t="shared" si="2"/>
        <v>22.906875183186266</v>
      </c>
      <c r="AE24" s="5">
        <v>2185.2359000000001</v>
      </c>
    </row>
    <row r="25" spans="1:31" x14ac:dyDescent="0.25">
      <c r="A25" s="4" t="s">
        <v>45</v>
      </c>
      <c r="B25" s="4" t="s">
        <v>64</v>
      </c>
      <c r="C25" s="5">
        <v>4.3243</v>
      </c>
      <c r="D25" s="6">
        <v>30</v>
      </c>
      <c r="E25" s="6">
        <v>391</v>
      </c>
      <c r="F25" s="2">
        <v>8858.3675999999996</v>
      </c>
      <c r="G25" s="4" t="s">
        <v>32</v>
      </c>
      <c r="H25" s="6">
        <v>84</v>
      </c>
      <c r="I25" s="6">
        <v>5</v>
      </c>
      <c r="J25" s="6">
        <v>29</v>
      </c>
      <c r="K25" s="6">
        <v>7</v>
      </c>
      <c r="L25" s="4" t="s">
        <v>148</v>
      </c>
      <c r="M25" s="5">
        <v>2.9249000000000001</v>
      </c>
      <c r="N25" s="4" t="s">
        <v>152</v>
      </c>
      <c r="O25" s="4" t="s">
        <v>35</v>
      </c>
      <c r="P25" s="6">
        <v>11</v>
      </c>
      <c r="Q25" s="6">
        <v>568</v>
      </c>
      <c r="R25" s="6">
        <v>29</v>
      </c>
      <c r="S25" s="5">
        <v>98.61</v>
      </c>
      <c r="T25" s="4" t="s">
        <v>26</v>
      </c>
      <c r="U25" s="1">
        <f>supply_chain_data_1[[#This Row],[Defect_rates2]]/100</f>
        <v>1.342291562722734E-2</v>
      </c>
      <c r="V25">
        <v>1.3422915627227341</v>
      </c>
      <c r="W25" s="4" t="s">
        <v>37</v>
      </c>
      <c r="X25" s="4" t="s">
        <v>153</v>
      </c>
      <c r="Y25" s="5">
        <v>196.32939999999999</v>
      </c>
      <c r="Z25" s="5">
        <f t="shared" si="0"/>
        <v>4.6547619047619051</v>
      </c>
      <c r="AA25" s="5">
        <f t="shared" si="1"/>
        <v>297.86429999999996</v>
      </c>
      <c r="AB25" s="1">
        <f>IFERROR(supply_chain_data_1[[#This Row],[Actual_Profit]] / F25, 0)</f>
        <v>0.96637480928201724</v>
      </c>
      <c r="AC25" s="5">
        <f>F25 - supply_chain_data_1[[#This Row],[Total_Costs]]</f>
        <v>8560.5033000000003</v>
      </c>
      <c r="AD25" s="5">
        <f t="shared" si="2"/>
        <v>5.2483600102458903</v>
      </c>
      <c r="AE25" s="5">
        <v>8662.0382000000009</v>
      </c>
    </row>
    <row r="26" spans="1:31" x14ac:dyDescent="0.25">
      <c r="A26" s="4" t="s">
        <v>22</v>
      </c>
      <c r="B26" s="4" t="s">
        <v>65</v>
      </c>
      <c r="C26" s="5">
        <v>4.1562999999999999</v>
      </c>
      <c r="D26" s="6">
        <v>32</v>
      </c>
      <c r="E26" s="6">
        <v>209</v>
      </c>
      <c r="F26" s="2">
        <v>9049.0779000000002</v>
      </c>
      <c r="G26" s="4" t="s">
        <v>43</v>
      </c>
      <c r="H26" s="6">
        <v>4</v>
      </c>
      <c r="I26" s="6">
        <v>26</v>
      </c>
      <c r="J26" s="6">
        <v>2</v>
      </c>
      <c r="K26" s="6">
        <v>8</v>
      </c>
      <c r="L26" s="4" t="s">
        <v>151</v>
      </c>
      <c r="M26" s="5">
        <v>9.7413000000000007</v>
      </c>
      <c r="N26" s="4" t="s">
        <v>155</v>
      </c>
      <c r="O26" s="4" t="s">
        <v>41</v>
      </c>
      <c r="P26" s="6">
        <v>28</v>
      </c>
      <c r="Q26" s="6">
        <v>447</v>
      </c>
      <c r="R26" s="6">
        <v>3</v>
      </c>
      <c r="S26" s="5">
        <v>40.382399999999997</v>
      </c>
      <c r="T26" s="4" t="s">
        <v>26</v>
      </c>
      <c r="U26" s="1">
        <f>supply_chain_data_1[[#This Row],[Defect_rates2]]/100</f>
        <v>3.6913102926287279E-2</v>
      </c>
      <c r="V26">
        <v>3.691310292628728</v>
      </c>
      <c r="W26" s="4" t="s">
        <v>33</v>
      </c>
      <c r="X26" s="4" t="s">
        <v>153</v>
      </c>
      <c r="Y26" s="5">
        <v>758.72479999999996</v>
      </c>
      <c r="Z26" s="5">
        <f t="shared" si="0"/>
        <v>52.25</v>
      </c>
      <c r="AA26" s="5">
        <f t="shared" si="1"/>
        <v>808.84849999999994</v>
      </c>
      <c r="AB26" s="1">
        <f>IFERROR(supply_chain_data_1[[#This Row],[Actual_Profit]] / F26, 0)</f>
        <v>0.91061536778239027</v>
      </c>
      <c r="AC26" s="5">
        <f>F26 - supply_chain_data_1[[#This Row],[Total_Costs]]</f>
        <v>8240.2294000000002</v>
      </c>
      <c r="AD26" s="5">
        <f t="shared" si="2"/>
        <v>7.7148385115940412</v>
      </c>
      <c r="AE26" s="5">
        <v>8290.3531000000003</v>
      </c>
    </row>
    <row r="27" spans="1:31" x14ac:dyDescent="0.25">
      <c r="A27" s="4" t="s">
        <v>22</v>
      </c>
      <c r="B27" s="4" t="s">
        <v>66</v>
      </c>
      <c r="C27" s="5">
        <v>39.629300000000001</v>
      </c>
      <c r="D27" s="6">
        <v>73</v>
      </c>
      <c r="E27" s="6">
        <v>142</v>
      </c>
      <c r="F27" s="2">
        <v>2174.7770999999998</v>
      </c>
      <c r="G27" s="4" t="s">
        <v>43</v>
      </c>
      <c r="H27" s="6">
        <v>82</v>
      </c>
      <c r="I27" s="6">
        <v>11</v>
      </c>
      <c r="J27" s="6">
        <v>52</v>
      </c>
      <c r="K27" s="6">
        <v>3</v>
      </c>
      <c r="L27" s="4" t="s">
        <v>151</v>
      </c>
      <c r="M27" s="5">
        <v>2.2311000000000001</v>
      </c>
      <c r="N27" s="4" t="s">
        <v>154</v>
      </c>
      <c r="O27" s="4" t="s">
        <v>35</v>
      </c>
      <c r="P27" s="6">
        <v>19</v>
      </c>
      <c r="Q27" s="6">
        <v>934</v>
      </c>
      <c r="R27" s="6">
        <v>23</v>
      </c>
      <c r="S27" s="5">
        <v>78.2804</v>
      </c>
      <c r="T27" s="4" t="s">
        <v>26</v>
      </c>
      <c r="U27" s="1">
        <f>supply_chain_data_1[[#This Row],[Defect_rates2]]/100</f>
        <v>3.7972312171141831E-2</v>
      </c>
      <c r="V27">
        <v>3.7972312171141831</v>
      </c>
      <c r="W27" s="4" t="s">
        <v>27</v>
      </c>
      <c r="X27" s="4" t="s">
        <v>147</v>
      </c>
      <c r="Y27" s="5">
        <v>458.53590000000003</v>
      </c>
      <c r="Z27" s="5">
        <f t="shared" si="0"/>
        <v>1.7317073170731707</v>
      </c>
      <c r="AA27" s="5">
        <f t="shared" si="1"/>
        <v>539.04740000000004</v>
      </c>
      <c r="AB27" s="1">
        <f>IFERROR(supply_chain_data_1[[#This Row],[Actual_Profit]] / F27, 0)</f>
        <v>0.75213671322913966</v>
      </c>
      <c r="AC27" s="5">
        <f>F27 - supply_chain_data_1[[#This Row],[Total_Costs]]</f>
        <v>1635.7296999999999</v>
      </c>
      <c r="AD27" s="5">
        <f t="shared" si="2"/>
        <v>5.3920683283021402</v>
      </c>
      <c r="AE27" s="5">
        <v>1716.2411999999999</v>
      </c>
    </row>
    <row r="28" spans="1:31" x14ac:dyDescent="0.25">
      <c r="A28" s="4" t="s">
        <v>22</v>
      </c>
      <c r="B28" s="4" t="s">
        <v>67</v>
      </c>
      <c r="C28" s="5">
        <v>97.446899999999999</v>
      </c>
      <c r="D28" s="6">
        <v>9</v>
      </c>
      <c r="E28" s="6">
        <v>353</v>
      </c>
      <c r="F28" s="2">
        <v>3716.4933000000001</v>
      </c>
      <c r="G28" s="4" t="s">
        <v>43</v>
      </c>
      <c r="H28" s="6">
        <v>59</v>
      </c>
      <c r="I28" s="6">
        <v>16</v>
      </c>
      <c r="J28" s="6">
        <v>48</v>
      </c>
      <c r="K28" s="6">
        <v>4</v>
      </c>
      <c r="L28" s="4" t="s">
        <v>145</v>
      </c>
      <c r="M28" s="5">
        <v>6.5075000000000003</v>
      </c>
      <c r="N28" s="4" t="s">
        <v>155</v>
      </c>
      <c r="O28" s="4" t="s">
        <v>41</v>
      </c>
      <c r="P28" s="6">
        <v>26</v>
      </c>
      <c r="Q28" s="6">
        <v>171</v>
      </c>
      <c r="R28" s="6">
        <v>4</v>
      </c>
      <c r="S28" s="5">
        <v>15.972200000000001</v>
      </c>
      <c r="T28" s="4" t="s">
        <v>51</v>
      </c>
      <c r="U28" s="1">
        <f>supply_chain_data_1[[#This Row],[Defect_rates2]]/100</f>
        <v>2.1193197367249228E-2</v>
      </c>
      <c r="V28">
        <v>2.1193197367249228</v>
      </c>
      <c r="W28" s="4" t="s">
        <v>37</v>
      </c>
      <c r="X28" s="4" t="s">
        <v>153</v>
      </c>
      <c r="Y28" s="5">
        <v>617.86689999999999</v>
      </c>
      <c r="Z28" s="5">
        <f t="shared" si="0"/>
        <v>5.9830508474576272</v>
      </c>
      <c r="AA28" s="5">
        <f t="shared" si="1"/>
        <v>640.34659999999997</v>
      </c>
      <c r="AB28" s="1">
        <f>IFERROR(supply_chain_data_1[[#This Row],[Actual_Profit]] / F28, 0)</f>
        <v>0.82770139798180187</v>
      </c>
      <c r="AC28" s="5">
        <f>F28 - supply_chain_data_1[[#This Row],[Total_Costs]]</f>
        <v>3076.1467000000002</v>
      </c>
      <c r="AD28" s="5">
        <f t="shared" si="2"/>
        <v>7.4811986706389773</v>
      </c>
      <c r="AE28" s="5">
        <v>3098.6264000000001</v>
      </c>
    </row>
    <row r="29" spans="1:31" x14ac:dyDescent="0.25">
      <c r="A29" s="4" t="s">
        <v>45</v>
      </c>
      <c r="B29" s="4" t="s">
        <v>68</v>
      </c>
      <c r="C29" s="5">
        <v>92.557400000000001</v>
      </c>
      <c r="D29" s="6">
        <v>42</v>
      </c>
      <c r="E29" s="6">
        <v>352</v>
      </c>
      <c r="F29" s="2">
        <v>2686.4571999999998</v>
      </c>
      <c r="G29" s="4" t="s">
        <v>32</v>
      </c>
      <c r="H29" s="6">
        <v>47</v>
      </c>
      <c r="I29" s="6">
        <v>9</v>
      </c>
      <c r="J29" s="6">
        <v>62</v>
      </c>
      <c r="K29" s="6">
        <v>8</v>
      </c>
      <c r="L29" s="4" t="s">
        <v>151</v>
      </c>
      <c r="M29" s="5">
        <v>7.4067999999999996</v>
      </c>
      <c r="N29" s="4" t="s">
        <v>152</v>
      </c>
      <c r="O29" s="4" t="s">
        <v>25</v>
      </c>
      <c r="P29" s="6">
        <v>25</v>
      </c>
      <c r="Q29" s="6">
        <v>291</v>
      </c>
      <c r="R29" s="6">
        <v>4</v>
      </c>
      <c r="S29" s="5">
        <v>10.5282</v>
      </c>
      <c r="T29" s="4" t="s">
        <v>36</v>
      </c>
      <c r="U29" s="1">
        <f>supply_chain_data_1[[#This Row],[Defect_rates2]]/100</f>
        <v>2.8646678378833734E-2</v>
      </c>
      <c r="V29">
        <v>2.8646678378833732</v>
      </c>
      <c r="W29" s="4" t="s">
        <v>44</v>
      </c>
      <c r="X29" s="4" t="s">
        <v>147</v>
      </c>
      <c r="Y29" s="5">
        <v>762.45920000000001</v>
      </c>
      <c r="Z29" s="5">
        <f t="shared" si="0"/>
        <v>7.4893617021276597</v>
      </c>
      <c r="AA29" s="5">
        <f t="shared" si="1"/>
        <v>780.39419999999996</v>
      </c>
      <c r="AB29" s="1">
        <f>IFERROR(supply_chain_data_1[[#This Row],[Actual_Profit]] / F29, 0)</f>
        <v>0.7095080465082414</v>
      </c>
      <c r="AC29" s="5">
        <f>F29 - supply_chain_data_1[[#This Row],[Total_Costs]]</f>
        <v>1906.0629999999999</v>
      </c>
      <c r="AD29" s="5">
        <f t="shared" si="2"/>
        <v>10.083630789349474</v>
      </c>
      <c r="AE29" s="5">
        <v>1923.998</v>
      </c>
    </row>
    <row r="30" spans="1:31" x14ac:dyDescent="0.25">
      <c r="A30" s="4" t="s">
        <v>45</v>
      </c>
      <c r="B30" s="4" t="s">
        <v>69</v>
      </c>
      <c r="C30" s="5">
        <v>2.3973</v>
      </c>
      <c r="D30" s="6">
        <v>12</v>
      </c>
      <c r="E30" s="6">
        <v>394</v>
      </c>
      <c r="F30" s="2">
        <v>6117.3245999999999</v>
      </c>
      <c r="G30" s="4" t="s">
        <v>30</v>
      </c>
      <c r="H30" s="6">
        <v>48</v>
      </c>
      <c r="I30" s="6">
        <v>15</v>
      </c>
      <c r="J30" s="6">
        <v>24</v>
      </c>
      <c r="K30" s="6">
        <v>4</v>
      </c>
      <c r="L30" s="4" t="s">
        <v>145</v>
      </c>
      <c r="M30" s="5">
        <v>9.8980999999999995</v>
      </c>
      <c r="N30" s="4" t="s">
        <v>149</v>
      </c>
      <c r="O30" s="4" t="s">
        <v>25</v>
      </c>
      <c r="P30" s="6">
        <v>13</v>
      </c>
      <c r="Q30" s="6">
        <v>171</v>
      </c>
      <c r="R30" s="6">
        <v>7</v>
      </c>
      <c r="S30" s="5">
        <v>59.429400000000001</v>
      </c>
      <c r="T30" s="4" t="s">
        <v>36</v>
      </c>
      <c r="U30" s="1">
        <f>supply_chain_data_1[[#This Row],[Defect_rates2]]/100</f>
        <v>8.1575707929567205E-3</v>
      </c>
      <c r="V30">
        <v>0.81575707929567198</v>
      </c>
      <c r="W30" s="4" t="s">
        <v>33</v>
      </c>
      <c r="X30" s="4" t="s">
        <v>153</v>
      </c>
      <c r="Y30" s="5">
        <v>123.437</v>
      </c>
      <c r="Z30" s="5">
        <f t="shared" si="0"/>
        <v>8.2083333333333339</v>
      </c>
      <c r="AA30" s="5">
        <f t="shared" si="1"/>
        <v>192.7645</v>
      </c>
      <c r="AB30" s="1">
        <f>IFERROR(supply_chain_data_1[[#This Row],[Actual_Profit]] / F30, 0)</f>
        <v>0.96848875732374895</v>
      </c>
      <c r="AC30" s="5">
        <f>F30 - supply_chain_data_1[[#This Row],[Total_Costs]]</f>
        <v>5924.5600999999997</v>
      </c>
      <c r="AD30" s="5">
        <f t="shared" si="2"/>
        <v>3.214082892424948</v>
      </c>
      <c r="AE30" s="5">
        <v>5993.8876</v>
      </c>
    </row>
    <row r="31" spans="1:31" x14ac:dyDescent="0.25">
      <c r="A31" s="4" t="s">
        <v>45</v>
      </c>
      <c r="B31" s="4" t="s">
        <v>70</v>
      </c>
      <c r="C31" s="5">
        <v>63.447600000000001</v>
      </c>
      <c r="D31" s="6">
        <v>3</v>
      </c>
      <c r="E31" s="6">
        <v>253</v>
      </c>
      <c r="F31" s="2">
        <v>8318.9032000000007</v>
      </c>
      <c r="G31" s="4" t="s">
        <v>30</v>
      </c>
      <c r="H31" s="6">
        <v>45</v>
      </c>
      <c r="I31" s="6">
        <v>5</v>
      </c>
      <c r="J31" s="6">
        <v>67</v>
      </c>
      <c r="K31" s="6">
        <v>7</v>
      </c>
      <c r="L31" s="4" t="s">
        <v>145</v>
      </c>
      <c r="M31" s="5">
        <v>8.1010000000000009</v>
      </c>
      <c r="N31" s="4" t="s">
        <v>149</v>
      </c>
      <c r="O31" s="4" t="s">
        <v>35</v>
      </c>
      <c r="P31" s="6">
        <v>16</v>
      </c>
      <c r="Q31" s="6">
        <v>329</v>
      </c>
      <c r="R31" s="6">
        <v>7</v>
      </c>
      <c r="S31" s="5">
        <v>39.292900000000003</v>
      </c>
      <c r="T31" s="4" t="s">
        <v>51</v>
      </c>
      <c r="U31" s="1">
        <f>supply_chain_data_1[[#This Row],[Defect_rates2]]/100</f>
        <v>3.878098936588488E-2</v>
      </c>
      <c r="V31">
        <v>3.8780989365884881</v>
      </c>
      <c r="W31" s="4" t="s">
        <v>27</v>
      </c>
      <c r="X31" s="4" t="s">
        <v>147</v>
      </c>
      <c r="Y31" s="5">
        <v>764.93539999999996</v>
      </c>
      <c r="Z31" s="5">
        <f t="shared" si="0"/>
        <v>5.6222222222222218</v>
      </c>
      <c r="AA31" s="5">
        <f t="shared" si="1"/>
        <v>812.32929999999999</v>
      </c>
      <c r="AB31" s="1">
        <f>IFERROR(supply_chain_data_1[[#This Row],[Actual_Profit]] / F31, 0)</f>
        <v>0.90235139411166598</v>
      </c>
      <c r="AC31" s="5">
        <f>F31 - supply_chain_data_1[[#This Row],[Total_Costs]]</f>
        <v>7506.5739000000003</v>
      </c>
      <c r="AD31" s="5">
        <f t="shared" si="2"/>
        <v>9.8115903095688743</v>
      </c>
      <c r="AE31" s="5">
        <v>7553.9678000000004</v>
      </c>
    </row>
    <row r="32" spans="1:31" x14ac:dyDescent="0.25">
      <c r="A32" s="4" t="s">
        <v>22</v>
      </c>
      <c r="B32" s="4" t="s">
        <v>71</v>
      </c>
      <c r="C32" s="5">
        <v>8.0228999999999999</v>
      </c>
      <c r="D32" s="6">
        <v>10</v>
      </c>
      <c r="E32" s="6">
        <v>327</v>
      </c>
      <c r="F32" s="2">
        <v>2766.3424</v>
      </c>
      <c r="G32" s="4" t="s">
        <v>43</v>
      </c>
      <c r="H32" s="6">
        <v>60</v>
      </c>
      <c r="I32" s="6">
        <v>26</v>
      </c>
      <c r="J32" s="6">
        <v>35</v>
      </c>
      <c r="K32" s="6">
        <v>7</v>
      </c>
      <c r="L32" s="4" t="s">
        <v>145</v>
      </c>
      <c r="M32" s="5">
        <v>8.9544999999999995</v>
      </c>
      <c r="N32" s="4" t="s">
        <v>154</v>
      </c>
      <c r="O32" s="4" t="s">
        <v>35</v>
      </c>
      <c r="P32" s="6">
        <v>27</v>
      </c>
      <c r="Q32" s="6">
        <v>806</v>
      </c>
      <c r="R32" s="6">
        <v>30</v>
      </c>
      <c r="S32" s="5">
        <v>51.634900000000002</v>
      </c>
      <c r="T32" s="4" t="s">
        <v>26</v>
      </c>
      <c r="U32" s="1">
        <f>supply_chain_data_1[[#This Row],[Defect_rates2]]/100</f>
        <v>9.6539470535239331E-3</v>
      </c>
      <c r="V32">
        <v>0.96539470535239325</v>
      </c>
      <c r="W32" s="4" t="s">
        <v>27</v>
      </c>
      <c r="X32" s="4" t="s">
        <v>150</v>
      </c>
      <c r="Y32" s="5">
        <v>880.08100000000002</v>
      </c>
      <c r="Z32" s="5">
        <f t="shared" si="0"/>
        <v>5.45</v>
      </c>
      <c r="AA32" s="5">
        <f t="shared" si="1"/>
        <v>940.67039999999997</v>
      </c>
      <c r="AB32" s="1">
        <f>IFERROR(supply_chain_data_1[[#This Row],[Actual_Profit]] / F32, 0)</f>
        <v>0.65995879613456387</v>
      </c>
      <c r="AC32" s="5">
        <f>F32 - supply_chain_data_1[[#This Row],[Total_Costs]]</f>
        <v>1825.672</v>
      </c>
      <c r="AD32" s="5">
        <f t="shared" si="2"/>
        <v>3.156840686502326</v>
      </c>
      <c r="AE32" s="5">
        <v>1886.2614000000001</v>
      </c>
    </row>
    <row r="33" spans="1:31" x14ac:dyDescent="0.25">
      <c r="A33" s="4" t="s">
        <v>28</v>
      </c>
      <c r="B33" s="4" t="s">
        <v>72</v>
      </c>
      <c r="C33" s="5">
        <v>50.8474</v>
      </c>
      <c r="D33" s="6">
        <v>28</v>
      </c>
      <c r="E33" s="6">
        <v>168</v>
      </c>
      <c r="F33" s="2">
        <v>9655.1350999999995</v>
      </c>
      <c r="G33" s="4" t="s">
        <v>43</v>
      </c>
      <c r="H33" s="6">
        <v>6</v>
      </c>
      <c r="I33" s="6">
        <v>17</v>
      </c>
      <c r="J33" s="6">
        <v>44</v>
      </c>
      <c r="K33" s="6">
        <v>4</v>
      </c>
      <c r="L33" s="4" t="s">
        <v>145</v>
      </c>
      <c r="M33" s="5">
        <v>2.6797</v>
      </c>
      <c r="N33" s="4" t="s">
        <v>146</v>
      </c>
      <c r="O33" s="4" t="s">
        <v>49</v>
      </c>
      <c r="P33" s="6">
        <v>24</v>
      </c>
      <c r="Q33" s="6">
        <v>461</v>
      </c>
      <c r="R33" s="6">
        <v>8</v>
      </c>
      <c r="S33" s="5">
        <v>60.251100000000001</v>
      </c>
      <c r="T33" s="4" t="s">
        <v>26</v>
      </c>
      <c r="U33" s="1">
        <f>supply_chain_data_1[[#This Row],[Defect_rates2]]/100</f>
        <v>2.9890000066550747E-2</v>
      </c>
      <c r="V33">
        <v>2.9890000066550746</v>
      </c>
      <c r="W33" s="4" t="s">
        <v>37</v>
      </c>
      <c r="X33" s="4" t="s">
        <v>150</v>
      </c>
      <c r="Y33" s="5">
        <v>609.37919999999997</v>
      </c>
      <c r="Z33" s="5">
        <f t="shared" si="0"/>
        <v>28</v>
      </c>
      <c r="AA33" s="5">
        <f t="shared" si="1"/>
        <v>672.31</v>
      </c>
      <c r="AB33" s="1">
        <f>IFERROR(supply_chain_data_1[[#This Row],[Actual_Profit]] / F33, 0)</f>
        <v>0.9303676237528774</v>
      </c>
      <c r="AC33" s="5">
        <f>F33 - supply_chain_data_1[[#This Row],[Total_Costs]]</f>
        <v>8982.8251</v>
      </c>
      <c r="AD33" s="5">
        <f t="shared" si="2"/>
        <v>5.0215200111805256</v>
      </c>
      <c r="AE33" s="5">
        <v>9045.7559000000001</v>
      </c>
    </row>
    <row r="34" spans="1:31" x14ac:dyDescent="0.25">
      <c r="A34" s="4" t="s">
        <v>28</v>
      </c>
      <c r="B34" s="4" t="s">
        <v>73</v>
      </c>
      <c r="C34" s="5">
        <v>79.209900000000005</v>
      </c>
      <c r="D34" s="6">
        <v>43</v>
      </c>
      <c r="E34" s="6">
        <v>781</v>
      </c>
      <c r="F34" s="2">
        <v>9571.5504999999994</v>
      </c>
      <c r="G34" s="4" t="s">
        <v>32</v>
      </c>
      <c r="H34" s="6">
        <v>89</v>
      </c>
      <c r="I34" s="6">
        <v>13</v>
      </c>
      <c r="J34" s="6">
        <v>64</v>
      </c>
      <c r="K34" s="6">
        <v>4</v>
      </c>
      <c r="L34" s="4" t="s">
        <v>151</v>
      </c>
      <c r="M34" s="5">
        <v>6.5991</v>
      </c>
      <c r="N34" s="4" t="s">
        <v>146</v>
      </c>
      <c r="O34" s="4" t="s">
        <v>35</v>
      </c>
      <c r="P34" s="6">
        <v>30</v>
      </c>
      <c r="Q34" s="6">
        <v>737</v>
      </c>
      <c r="R34" s="6">
        <v>7</v>
      </c>
      <c r="S34" s="5">
        <v>29.692499999999999</v>
      </c>
      <c r="T34" s="4" t="s">
        <v>51</v>
      </c>
      <c r="U34" s="1">
        <f>supply_chain_data_1[[#This Row],[Defect_rates2]]/100</f>
        <v>1.9460361193861131E-2</v>
      </c>
      <c r="V34">
        <v>1.9460361193861131</v>
      </c>
      <c r="W34" s="4" t="s">
        <v>27</v>
      </c>
      <c r="X34" s="4" t="s">
        <v>153</v>
      </c>
      <c r="Y34" s="5">
        <v>761.1739</v>
      </c>
      <c r="Z34" s="5">
        <f t="shared" ref="Z34:Z65" si="3">IFERROR(E34/H34, 0)</f>
        <v>8.7752808988764048</v>
      </c>
      <c r="AA34" s="5">
        <f t="shared" ref="AA34:AA65" si="4">M34 + S34 + Y34</f>
        <v>797.46550000000002</v>
      </c>
      <c r="AB34" s="1">
        <f>IFERROR(supply_chain_data_1[[#This Row],[Actual_Profit]] / F34, 0)</f>
        <v>0.91668377030450809</v>
      </c>
      <c r="AC34" s="5">
        <f>F34 - supply_chain_data_1[[#This Row],[Total_Costs]]</f>
        <v>8774.0849999999991</v>
      </c>
      <c r="AD34" s="5">
        <f t="shared" ref="AD34:AD65" si="5">E34 * U34</f>
        <v>15.198542092405543</v>
      </c>
      <c r="AE34" s="5">
        <v>8810.3765999999996</v>
      </c>
    </row>
    <row r="35" spans="1:31" x14ac:dyDescent="0.25">
      <c r="A35" s="4" t="s">
        <v>45</v>
      </c>
      <c r="B35" s="4" t="s">
        <v>74</v>
      </c>
      <c r="C35" s="5">
        <v>64.795400000000001</v>
      </c>
      <c r="D35" s="6">
        <v>63</v>
      </c>
      <c r="E35" s="6">
        <v>616</v>
      </c>
      <c r="F35" s="2">
        <v>5149.9984000000004</v>
      </c>
      <c r="G35" s="4" t="s">
        <v>24</v>
      </c>
      <c r="H35" s="6">
        <v>4</v>
      </c>
      <c r="I35" s="6">
        <v>17</v>
      </c>
      <c r="J35" s="6">
        <v>95</v>
      </c>
      <c r="K35" s="6">
        <v>9</v>
      </c>
      <c r="L35" s="4" t="s">
        <v>151</v>
      </c>
      <c r="M35" s="5">
        <v>4.8582999999999998</v>
      </c>
      <c r="N35" s="4" t="s">
        <v>152</v>
      </c>
      <c r="O35" s="4" t="s">
        <v>49</v>
      </c>
      <c r="P35" s="6">
        <v>1</v>
      </c>
      <c r="Q35" s="6">
        <v>251</v>
      </c>
      <c r="R35" s="6">
        <v>23</v>
      </c>
      <c r="S35" s="5">
        <v>23.853400000000001</v>
      </c>
      <c r="T35" s="4" t="s">
        <v>36</v>
      </c>
      <c r="U35" s="1">
        <f>supply_chain_data_1[[#This Row],[Defect_rates2]]/100</f>
        <v>3.541046012250923E-2</v>
      </c>
      <c r="V35">
        <v>3.5410460122509231</v>
      </c>
      <c r="W35" s="4" t="s">
        <v>44</v>
      </c>
      <c r="X35" s="4" t="s">
        <v>153</v>
      </c>
      <c r="Y35" s="5">
        <v>371.25529999999998</v>
      </c>
      <c r="Z35" s="5">
        <f t="shared" si="3"/>
        <v>154</v>
      </c>
      <c r="AA35" s="5">
        <f t="shared" si="4"/>
        <v>399.96699999999998</v>
      </c>
      <c r="AB35" s="1">
        <f>IFERROR(supply_chain_data_1[[#This Row],[Actual_Profit]] / F35, 0)</f>
        <v>0.92233648072589702</v>
      </c>
      <c r="AC35" s="5">
        <f>F35 - supply_chain_data_1[[#This Row],[Total_Costs]]</f>
        <v>4750.0314000000008</v>
      </c>
      <c r="AD35" s="5">
        <f t="shared" si="5"/>
        <v>21.812843435465684</v>
      </c>
      <c r="AE35" s="5">
        <v>4778.7430999999997</v>
      </c>
    </row>
    <row r="36" spans="1:31" x14ac:dyDescent="0.25">
      <c r="A36" s="4" t="s">
        <v>28</v>
      </c>
      <c r="B36" s="4" t="s">
        <v>75</v>
      </c>
      <c r="C36" s="5">
        <v>37.467599999999997</v>
      </c>
      <c r="D36" s="6">
        <v>96</v>
      </c>
      <c r="E36" s="6">
        <v>602</v>
      </c>
      <c r="F36" s="2">
        <v>9061.7109</v>
      </c>
      <c r="G36" s="4" t="s">
        <v>32</v>
      </c>
      <c r="H36" s="6">
        <v>1</v>
      </c>
      <c r="I36" s="6">
        <v>26</v>
      </c>
      <c r="J36" s="6">
        <v>21</v>
      </c>
      <c r="K36" s="6">
        <v>7</v>
      </c>
      <c r="L36" s="4" t="s">
        <v>148</v>
      </c>
      <c r="M36" s="5">
        <v>1.0195000000000001</v>
      </c>
      <c r="N36" s="4" t="s">
        <v>149</v>
      </c>
      <c r="O36" s="4" t="s">
        <v>49</v>
      </c>
      <c r="P36" s="6">
        <v>4</v>
      </c>
      <c r="Q36" s="6">
        <v>452</v>
      </c>
      <c r="R36" s="6">
        <v>10</v>
      </c>
      <c r="S36" s="5">
        <v>10.754300000000001</v>
      </c>
      <c r="T36" s="4" t="s">
        <v>51</v>
      </c>
      <c r="U36" s="1">
        <f>supply_chain_data_1[[#This Row],[Defect_rates2]]/100</f>
        <v>6.4660455937205485E-3</v>
      </c>
      <c r="V36">
        <v>0.64660455937205485</v>
      </c>
      <c r="W36" s="4" t="s">
        <v>27</v>
      </c>
      <c r="X36" s="4" t="s">
        <v>147</v>
      </c>
      <c r="Y36" s="5">
        <v>510.358</v>
      </c>
      <c r="Z36" s="5">
        <f t="shared" si="3"/>
        <v>602</v>
      </c>
      <c r="AA36" s="5">
        <f t="shared" si="4"/>
        <v>522.1318</v>
      </c>
      <c r="AB36" s="1">
        <f>IFERROR(supply_chain_data_1[[#This Row],[Actual_Profit]] / F36, 0)</f>
        <v>0.94238043943776673</v>
      </c>
      <c r="AC36" s="5">
        <f>F36 - supply_chain_data_1[[#This Row],[Total_Costs]]</f>
        <v>8539.5791000000008</v>
      </c>
      <c r="AD36" s="5">
        <f t="shared" si="5"/>
        <v>3.89255944741977</v>
      </c>
      <c r="AE36" s="5">
        <v>8551.3528999999999</v>
      </c>
    </row>
    <row r="37" spans="1:31" x14ac:dyDescent="0.25">
      <c r="A37" s="4" t="s">
        <v>45</v>
      </c>
      <c r="B37" s="4" t="s">
        <v>76</v>
      </c>
      <c r="C37" s="5">
        <v>84.957800000000006</v>
      </c>
      <c r="D37" s="6">
        <v>11</v>
      </c>
      <c r="E37" s="6">
        <v>449</v>
      </c>
      <c r="F37" s="2">
        <v>6541.3293000000003</v>
      </c>
      <c r="G37" s="4" t="s">
        <v>30</v>
      </c>
      <c r="H37" s="6">
        <v>42</v>
      </c>
      <c r="I37" s="6">
        <v>27</v>
      </c>
      <c r="J37" s="6">
        <v>85</v>
      </c>
      <c r="K37" s="6">
        <v>8</v>
      </c>
      <c r="L37" s="4" t="s">
        <v>151</v>
      </c>
      <c r="M37" s="5">
        <v>5.2881999999999998</v>
      </c>
      <c r="N37" s="4" t="s">
        <v>149</v>
      </c>
      <c r="O37" s="4" t="s">
        <v>39</v>
      </c>
      <c r="P37" s="6">
        <v>3</v>
      </c>
      <c r="Q37" s="6">
        <v>367</v>
      </c>
      <c r="R37" s="6">
        <v>2</v>
      </c>
      <c r="S37" s="5">
        <v>58.004800000000003</v>
      </c>
      <c r="T37" s="4" t="s">
        <v>51</v>
      </c>
      <c r="U37" s="1">
        <f>supply_chain_data_1[[#This Row],[Defect_rates2]]/100</f>
        <v>5.4115409806058112E-3</v>
      </c>
      <c r="V37">
        <v>0.54115409806058112</v>
      </c>
      <c r="W37" s="4" t="s">
        <v>44</v>
      </c>
      <c r="X37" s="4" t="s">
        <v>150</v>
      </c>
      <c r="Y37" s="5">
        <v>553.42049999999995</v>
      </c>
      <c r="Z37" s="5">
        <f t="shared" si="3"/>
        <v>10.69047619047619</v>
      </c>
      <c r="AA37" s="5">
        <f t="shared" si="4"/>
        <v>616.71349999999995</v>
      </c>
      <c r="AB37" s="1">
        <f>IFERROR(supply_chain_data_1[[#This Row],[Actual_Profit]] / F37, 0)</f>
        <v>0.90572046265886663</v>
      </c>
      <c r="AC37" s="5">
        <f>F37 - supply_chain_data_1[[#This Row],[Total_Costs]]</f>
        <v>5924.6158000000005</v>
      </c>
      <c r="AD37" s="5">
        <f t="shared" si="5"/>
        <v>2.4297819002920091</v>
      </c>
      <c r="AE37" s="5">
        <v>5987.9088000000002</v>
      </c>
    </row>
    <row r="38" spans="1:31" x14ac:dyDescent="0.25">
      <c r="A38" s="4" t="s">
        <v>28</v>
      </c>
      <c r="B38" s="4" t="s">
        <v>77</v>
      </c>
      <c r="C38" s="5">
        <v>9.8130000000000006</v>
      </c>
      <c r="D38" s="6">
        <v>34</v>
      </c>
      <c r="E38" s="6">
        <v>963</v>
      </c>
      <c r="F38" s="2">
        <v>7573.4025000000001</v>
      </c>
      <c r="G38" s="4" t="s">
        <v>30</v>
      </c>
      <c r="H38" s="6">
        <v>18</v>
      </c>
      <c r="I38" s="6">
        <v>23</v>
      </c>
      <c r="J38" s="6">
        <v>28</v>
      </c>
      <c r="K38" s="6">
        <v>3</v>
      </c>
      <c r="L38" s="4" t="s">
        <v>145</v>
      </c>
      <c r="M38" s="5">
        <v>2.1080000000000001</v>
      </c>
      <c r="N38" s="4" t="s">
        <v>155</v>
      </c>
      <c r="O38" s="4" t="s">
        <v>39</v>
      </c>
      <c r="P38" s="6">
        <v>26</v>
      </c>
      <c r="Q38" s="6">
        <v>671</v>
      </c>
      <c r="R38" s="6">
        <v>19</v>
      </c>
      <c r="S38" s="5">
        <v>45.531399999999998</v>
      </c>
      <c r="T38" s="4" t="s">
        <v>36</v>
      </c>
      <c r="U38" s="1">
        <f>supply_chain_data_1[[#This Row],[Defect_rates2]]/100</f>
        <v>3.8055333792433539E-2</v>
      </c>
      <c r="V38">
        <v>3.8055333792433537</v>
      </c>
      <c r="W38" s="4" t="s">
        <v>33</v>
      </c>
      <c r="X38" s="4" t="s">
        <v>150</v>
      </c>
      <c r="Y38" s="5">
        <v>403.80900000000003</v>
      </c>
      <c r="Z38" s="5">
        <f t="shared" si="3"/>
        <v>53.5</v>
      </c>
      <c r="AA38" s="5">
        <f t="shared" si="4"/>
        <v>451.44839999999999</v>
      </c>
      <c r="AB38" s="1">
        <f>IFERROR(supply_chain_data_1[[#This Row],[Actual_Profit]] / F38, 0)</f>
        <v>0.940390280326445</v>
      </c>
      <c r="AC38" s="5">
        <f>F38 - supply_chain_data_1[[#This Row],[Total_Costs]]</f>
        <v>7121.9540999999999</v>
      </c>
      <c r="AD38" s="5">
        <f t="shared" si="5"/>
        <v>36.647286442113497</v>
      </c>
      <c r="AE38" s="5">
        <v>7169.5934999999999</v>
      </c>
    </row>
    <row r="39" spans="1:31" x14ac:dyDescent="0.25">
      <c r="A39" s="4" t="s">
        <v>28</v>
      </c>
      <c r="B39" s="4" t="s">
        <v>78</v>
      </c>
      <c r="C39" s="5">
        <v>23.399799999999999</v>
      </c>
      <c r="D39" s="6">
        <v>5</v>
      </c>
      <c r="E39" s="6">
        <v>963</v>
      </c>
      <c r="F39" s="2">
        <v>2438.3398999999999</v>
      </c>
      <c r="G39" s="4" t="s">
        <v>30</v>
      </c>
      <c r="H39" s="6">
        <v>25</v>
      </c>
      <c r="I39" s="6">
        <v>8</v>
      </c>
      <c r="J39" s="6">
        <v>21</v>
      </c>
      <c r="K39" s="6">
        <v>9</v>
      </c>
      <c r="L39" s="4" t="s">
        <v>148</v>
      </c>
      <c r="M39" s="5">
        <v>1.5327</v>
      </c>
      <c r="N39" s="4" t="s">
        <v>146</v>
      </c>
      <c r="O39" s="4" t="s">
        <v>35</v>
      </c>
      <c r="P39" s="6">
        <v>24</v>
      </c>
      <c r="Q39" s="6">
        <v>867</v>
      </c>
      <c r="R39" s="6">
        <v>15</v>
      </c>
      <c r="S39" s="5">
        <v>34.343299999999999</v>
      </c>
      <c r="T39" s="4" t="s">
        <v>26</v>
      </c>
      <c r="U39" s="1">
        <f>supply_chain_data_1[[#This Row],[Defect_rates2]]/100</f>
        <v>2.6102880848481131E-2</v>
      </c>
      <c r="V39">
        <v>2.6102880848481131</v>
      </c>
      <c r="W39" s="4" t="s">
        <v>44</v>
      </c>
      <c r="X39" s="4" t="s">
        <v>153</v>
      </c>
      <c r="Y39" s="5">
        <v>183.93299999999999</v>
      </c>
      <c r="Z39" s="5">
        <f t="shared" si="3"/>
        <v>38.520000000000003</v>
      </c>
      <c r="AA39" s="5">
        <f t="shared" si="4"/>
        <v>219.809</v>
      </c>
      <c r="AB39" s="1">
        <f>IFERROR(supply_chain_data_1[[#This Row],[Actual_Profit]] / F39, 0)</f>
        <v>0.9098530110588765</v>
      </c>
      <c r="AC39" s="5">
        <f>F39 - supply_chain_data_1[[#This Row],[Total_Costs]]</f>
        <v>2218.5308999999997</v>
      </c>
      <c r="AD39" s="5">
        <f t="shared" si="5"/>
        <v>25.137074257087328</v>
      </c>
      <c r="AE39" s="5">
        <v>2254.4069</v>
      </c>
    </row>
    <row r="40" spans="1:31" x14ac:dyDescent="0.25">
      <c r="A40" s="4" t="s">
        <v>45</v>
      </c>
      <c r="B40" s="4" t="s">
        <v>79</v>
      </c>
      <c r="C40" s="5">
        <v>52.075899999999997</v>
      </c>
      <c r="D40" s="6">
        <v>75</v>
      </c>
      <c r="E40" s="6">
        <v>705</v>
      </c>
      <c r="F40" s="2">
        <v>9692.3179999999993</v>
      </c>
      <c r="G40" s="4" t="s">
        <v>24</v>
      </c>
      <c r="H40" s="6">
        <v>69</v>
      </c>
      <c r="I40" s="6">
        <v>1</v>
      </c>
      <c r="J40" s="6">
        <v>88</v>
      </c>
      <c r="K40" s="6">
        <v>5</v>
      </c>
      <c r="L40" s="4" t="s">
        <v>145</v>
      </c>
      <c r="M40" s="5">
        <v>9.2359000000000009</v>
      </c>
      <c r="N40" s="4" t="s">
        <v>152</v>
      </c>
      <c r="O40" s="4" t="s">
        <v>25</v>
      </c>
      <c r="P40" s="6">
        <v>10</v>
      </c>
      <c r="Q40" s="6">
        <v>841</v>
      </c>
      <c r="R40" s="6">
        <v>12</v>
      </c>
      <c r="S40" s="5">
        <v>5.9306999999999999</v>
      </c>
      <c r="T40" s="4" t="s">
        <v>26</v>
      </c>
      <c r="U40" s="1">
        <f>supply_chain_data_1[[#This Row],[Defect_rates2]]/100</f>
        <v>6.1332689916450741E-3</v>
      </c>
      <c r="V40">
        <v>0.61332689916450744</v>
      </c>
      <c r="W40" s="4" t="s">
        <v>33</v>
      </c>
      <c r="X40" s="4" t="s">
        <v>147</v>
      </c>
      <c r="Y40" s="5">
        <v>339.67290000000003</v>
      </c>
      <c r="Z40" s="5">
        <f t="shared" si="3"/>
        <v>10.217391304347826</v>
      </c>
      <c r="AA40" s="5">
        <f t="shared" si="4"/>
        <v>354.83950000000004</v>
      </c>
      <c r="AB40" s="1">
        <f>IFERROR(supply_chain_data_1[[#This Row],[Actual_Profit]] / F40, 0)</f>
        <v>0.96338961433168002</v>
      </c>
      <c r="AC40" s="5">
        <f>F40 - supply_chain_data_1[[#This Row],[Total_Costs]]</f>
        <v>9337.4784999999993</v>
      </c>
      <c r="AD40" s="5">
        <f t="shared" si="5"/>
        <v>4.3239546391097772</v>
      </c>
      <c r="AE40" s="5">
        <v>9352.6450999999997</v>
      </c>
    </row>
    <row r="41" spans="1:31" x14ac:dyDescent="0.25">
      <c r="A41" s="4" t="s">
        <v>28</v>
      </c>
      <c r="B41" s="4" t="s">
        <v>80</v>
      </c>
      <c r="C41" s="5">
        <v>19.127500000000001</v>
      </c>
      <c r="D41" s="6">
        <v>26</v>
      </c>
      <c r="E41" s="6">
        <v>176</v>
      </c>
      <c r="F41" s="2">
        <v>1912.4657</v>
      </c>
      <c r="G41" s="4" t="s">
        <v>30</v>
      </c>
      <c r="H41" s="6">
        <v>78</v>
      </c>
      <c r="I41" s="6">
        <v>29</v>
      </c>
      <c r="J41" s="6">
        <v>34</v>
      </c>
      <c r="K41" s="6">
        <v>3</v>
      </c>
      <c r="L41" s="4" t="s">
        <v>148</v>
      </c>
      <c r="M41" s="5">
        <v>5.5625</v>
      </c>
      <c r="N41" s="4" t="s">
        <v>155</v>
      </c>
      <c r="O41" s="4" t="s">
        <v>35</v>
      </c>
      <c r="P41" s="6">
        <v>30</v>
      </c>
      <c r="Q41" s="6">
        <v>791</v>
      </c>
      <c r="R41" s="6">
        <v>6</v>
      </c>
      <c r="S41" s="5">
        <v>9.0058000000000007</v>
      </c>
      <c r="T41" s="4" t="s">
        <v>36</v>
      </c>
      <c r="U41" s="1">
        <f>supply_chain_data_1[[#This Row],[Defect_rates2]]/100</f>
        <v>1.451972203996816E-2</v>
      </c>
      <c r="V41">
        <v>1.4519722039968159</v>
      </c>
      <c r="W41" s="4" t="s">
        <v>33</v>
      </c>
      <c r="X41" s="4" t="s">
        <v>147</v>
      </c>
      <c r="Y41" s="5">
        <v>653.673</v>
      </c>
      <c r="Z41" s="5">
        <f t="shared" si="3"/>
        <v>2.2564102564102564</v>
      </c>
      <c r="AA41" s="5">
        <f t="shared" si="4"/>
        <v>668.24130000000002</v>
      </c>
      <c r="AB41" s="1">
        <f>IFERROR(supply_chain_data_1[[#This Row],[Actual_Profit]] / F41, 0)</f>
        <v>0.65058651770852682</v>
      </c>
      <c r="AC41" s="5">
        <f>F41 - supply_chain_data_1[[#This Row],[Total_Costs]]</f>
        <v>1244.2244000000001</v>
      </c>
      <c r="AD41" s="5">
        <f t="shared" si="5"/>
        <v>2.5554710790343962</v>
      </c>
      <c r="AE41" s="5">
        <v>1258.7927</v>
      </c>
    </row>
    <row r="42" spans="1:31" x14ac:dyDescent="0.25">
      <c r="A42" s="4" t="s">
        <v>28</v>
      </c>
      <c r="B42" s="4" t="s">
        <v>81</v>
      </c>
      <c r="C42" s="5">
        <v>80.541399999999996</v>
      </c>
      <c r="D42" s="6">
        <v>97</v>
      </c>
      <c r="E42" s="6">
        <v>933</v>
      </c>
      <c r="F42" s="2">
        <v>5724.9593999999997</v>
      </c>
      <c r="G42" s="4" t="s">
        <v>30</v>
      </c>
      <c r="H42" s="6">
        <v>90</v>
      </c>
      <c r="I42" s="6">
        <v>20</v>
      </c>
      <c r="J42" s="6">
        <v>39</v>
      </c>
      <c r="K42" s="6">
        <v>8</v>
      </c>
      <c r="L42" s="4" t="s">
        <v>151</v>
      </c>
      <c r="M42" s="5">
        <v>7.2295999999999996</v>
      </c>
      <c r="N42" s="4" t="s">
        <v>149</v>
      </c>
      <c r="O42" s="4" t="s">
        <v>35</v>
      </c>
      <c r="P42" s="6">
        <v>18</v>
      </c>
      <c r="Q42" s="6">
        <v>793</v>
      </c>
      <c r="R42" s="6">
        <v>1</v>
      </c>
      <c r="S42" s="5">
        <v>88.179400000000001</v>
      </c>
      <c r="T42" s="4" t="s">
        <v>26</v>
      </c>
      <c r="U42" s="1">
        <f>supply_chain_data_1[[#This Row],[Defect_rates2]]/100</f>
        <v>4.2132694305865658E-2</v>
      </c>
      <c r="V42">
        <v>4.2132694305865659</v>
      </c>
      <c r="W42" s="4" t="s">
        <v>27</v>
      </c>
      <c r="X42" s="4" t="s">
        <v>153</v>
      </c>
      <c r="Y42" s="5">
        <v>529.80870000000004</v>
      </c>
      <c r="Z42" s="5">
        <f t="shared" si="3"/>
        <v>10.366666666666667</v>
      </c>
      <c r="AA42" s="5">
        <f t="shared" si="4"/>
        <v>625.21770000000004</v>
      </c>
      <c r="AB42" s="1">
        <f>IFERROR(supply_chain_data_1[[#This Row],[Actual_Profit]] / F42, 0)</f>
        <v>0.89079089364371733</v>
      </c>
      <c r="AC42" s="5">
        <f>F42 - supply_chain_data_1[[#This Row],[Total_Costs]]</f>
        <v>5099.7416999999996</v>
      </c>
      <c r="AD42" s="5">
        <f t="shared" si="5"/>
        <v>39.309803787372658</v>
      </c>
      <c r="AE42" s="5">
        <v>5195.1507000000001</v>
      </c>
    </row>
    <row r="43" spans="1:31" x14ac:dyDescent="0.25">
      <c r="A43" s="4" t="s">
        <v>28</v>
      </c>
      <c r="B43" s="4" t="s">
        <v>82</v>
      </c>
      <c r="C43" s="5">
        <v>99.113299999999995</v>
      </c>
      <c r="D43" s="6">
        <v>35</v>
      </c>
      <c r="E43" s="6">
        <v>556</v>
      </c>
      <c r="F43" s="2">
        <v>5521.2052999999996</v>
      </c>
      <c r="G43" s="4" t="s">
        <v>30</v>
      </c>
      <c r="H43" s="6">
        <v>64</v>
      </c>
      <c r="I43" s="6">
        <v>19</v>
      </c>
      <c r="J43" s="6">
        <v>38</v>
      </c>
      <c r="K43" s="6">
        <v>8</v>
      </c>
      <c r="L43" s="4" t="s">
        <v>145</v>
      </c>
      <c r="M43" s="5">
        <v>5.7732999999999999</v>
      </c>
      <c r="N43" s="4" t="s">
        <v>154</v>
      </c>
      <c r="O43" s="4" t="s">
        <v>49</v>
      </c>
      <c r="P43" s="6">
        <v>18</v>
      </c>
      <c r="Q43" s="6">
        <v>892</v>
      </c>
      <c r="R43" s="6">
        <v>7</v>
      </c>
      <c r="S43" s="5">
        <v>95.332099999999997</v>
      </c>
      <c r="T43" s="4" t="s">
        <v>36</v>
      </c>
      <c r="U43" s="1">
        <f>supply_chain_data_1[[#This Row],[Defect_rates2]]/100</f>
        <v>4.5302262398259631E-4</v>
      </c>
      <c r="V43">
        <v>4.530226239825963E-2</v>
      </c>
      <c r="W43" s="4" t="s">
        <v>44</v>
      </c>
      <c r="X43" s="4" t="s">
        <v>153</v>
      </c>
      <c r="Y43" s="5">
        <v>275.52440000000001</v>
      </c>
      <c r="Z43" s="5">
        <f t="shared" si="3"/>
        <v>8.6875</v>
      </c>
      <c r="AA43" s="5">
        <f t="shared" si="4"/>
        <v>376.62980000000005</v>
      </c>
      <c r="AB43" s="1">
        <f>IFERROR(supply_chain_data_1[[#This Row],[Actual_Profit]] / F43, 0)</f>
        <v>0.93178485864309379</v>
      </c>
      <c r="AC43" s="5">
        <f>F43 - supply_chain_data_1[[#This Row],[Total_Costs]]</f>
        <v>5144.5754999999999</v>
      </c>
      <c r="AD43" s="5">
        <f t="shared" si="5"/>
        <v>0.25188057893432353</v>
      </c>
      <c r="AE43" s="5">
        <v>5245.6809000000003</v>
      </c>
    </row>
    <row r="44" spans="1:31" x14ac:dyDescent="0.25">
      <c r="A44" s="4" t="s">
        <v>28</v>
      </c>
      <c r="B44" s="4" t="s">
        <v>83</v>
      </c>
      <c r="C44" s="5">
        <v>46.529200000000003</v>
      </c>
      <c r="D44" s="6">
        <v>98</v>
      </c>
      <c r="E44" s="6">
        <v>155</v>
      </c>
      <c r="F44" s="2">
        <v>1839.6094000000001</v>
      </c>
      <c r="G44" s="4" t="s">
        <v>30</v>
      </c>
      <c r="H44" s="6">
        <v>22</v>
      </c>
      <c r="I44" s="6">
        <v>27</v>
      </c>
      <c r="J44" s="6">
        <v>57</v>
      </c>
      <c r="K44" s="6">
        <v>4</v>
      </c>
      <c r="L44" s="4" t="s">
        <v>151</v>
      </c>
      <c r="M44" s="5">
        <v>7.5262000000000002</v>
      </c>
      <c r="N44" s="4" t="s">
        <v>152</v>
      </c>
      <c r="O44" s="4" t="s">
        <v>41</v>
      </c>
      <c r="P44" s="6">
        <v>26</v>
      </c>
      <c r="Q44" s="6">
        <v>179</v>
      </c>
      <c r="R44" s="6">
        <v>7</v>
      </c>
      <c r="S44" s="5">
        <v>96.422799999999995</v>
      </c>
      <c r="T44" s="4" t="s">
        <v>36</v>
      </c>
      <c r="U44" s="1">
        <f>supply_chain_data_1[[#This Row],[Defect_rates2]]/100</f>
        <v>4.939255288620948E-2</v>
      </c>
      <c r="V44">
        <v>4.9392552886209478</v>
      </c>
      <c r="W44" s="4" t="s">
        <v>27</v>
      </c>
      <c r="X44" s="4" t="s">
        <v>153</v>
      </c>
      <c r="Y44" s="5">
        <v>635.65710000000001</v>
      </c>
      <c r="Z44" s="5">
        <f t="shared" si="3"/>
        <v>7.0454545454545459</v>
      </c>
      <c r="AA44" s="5">
        <f t="shared" si="4"/>
        <v>739.60609999999997</v>
      </c>
      <c r="AB44" s="1">
        <f>IFERROR(supply_chain_data_1[[#This Row],[Actual_Profit]] / F44, 0)</f>
        <v>0.59795481584297194</v>
      </c>
      <c r="AC44" s="5">
        <f>F44 - supply_chain_data_1[[#This Row],[Total_Costs]]</f>
        <v>1100.0033000000001</v>
      </c>
      <c r="AD44" s="5">
        <f t="shared" si="5"/>
        <v>7.6558456973624693</v>
      </c>
      <c r="AE44" s="5">
        <v>1203.9522999999999</v>
      </c>
    </row>
    <row r="45" spans="1:31" x14ac:dyDescent="0.25">
      <c r="A45" s="4" t="s">
        <v>22</v>
      </c>
      <c r="B45" s="4" t="s">
        <v>84</v>
      </c>
      <c r="C45" s="5">
        <v>11.7433</v>
      </c>
      <c r="D45" s="6">
        <v>6</v>
      </c>
      <c r="E45" s="6">
        <v>598</v>
      </c>
      <c r="F45" s="2">
        <v>5737.4255999999996</v>
      </c>
      <c r="G45" s="4" t="s">
        <v>32</v>
      </c>
      <c r="H45" s="6">
        <v>36</v>
      </c>
      <c r="I45" s="6">
        <v>29</v>
      </c>
      <c r="J45" s="6">
        <v>85</v>
      </c>
      <c r="K45" s="6">
        <v>9</v>
      </c>
      <c r="L45" s="4" t="s">
        <v>145</v>
      </c>
      <c r="M45" s="5">
        <v>3.694</v>
      </c>
      <c r="N45" s="4" t="s">
        <v>152</v>
      </c>
      <c r="O45" s="4" t="s">
        <v>25</v>
      </c>
      <c r="P45" s="6">
        <v>1</v>
      </c>
      <c r="Q45" s="6">
        <v>206</v>
      </c>
      <c r="R45" s="6">
        <v>23</v>
      </c>
      <c r="S45" s="5">
        <v>26.2774</v>
      </c>
      <c r="T45" s="4" t="s">
        <v>26</v>
      </c>
      <c r="U45" s="1">
        <f>supply_chain_data_1[[#This Row],[Defect_rates2]]/100</f>
        <v>3.7230476798509769E-3</v>
      </c>
      <c r="V45">
        <v>0.37230476798509771</v>
      </c>
      <c r="W45" s="4" t="s">
        <v>33</v>
      </c>
      <c r="X45" s="4" t="s">
        <v>153</v>
      </c>
      <c r="Y45" s="5">
        <v>716.04409999999996</v>
      </c>
      <c r="Z45" s="5">
        <f t="shared" si="3"/>
        <v>16.611111111111111</v>
      </c>
      <c r="AA45" s="5">
        <f t="shared" si="4"/>
        <v>746.01549999999997</v>
      </c>
      <c r="AB45" s="1">
        <f>IFERROR(supply_chain_data_1[[#This Row],[Actual_Profit]] / F45, 0)</f>
        <v>0.86997382589152872</v>
      </c>
      <c r="AC45" s="5">
        <f>F45 - supply_chain_data_1[[#This Row],[Total_Costs]]</f>
        <v>4991.4100999999991</v>
      </c>
      <c r="AD45" s="5">
        <f t="shared" si="5"/>
        <v>2.226382512550884</v>
      </c>
      <c r="AE45" s="5">
        <v>5021.3815000000004</v>
      </c>
    </row>
    <row r="46" spans="1:31" x14ac:dyDescent="0.25">
      <c r="A46" s="4" t="s">
        <v>45</v>
      </c>
      <c r="B46" s="4" t="s">
        <v>85</v>
      </c>
      <c r="C46" s="5">
        <v>51.355800000000002</v>
      </c>
      <c r="D46" s="6">
        <v>34</v>
      </c>
      <c r="E46" s="6">
        <v>919</v>
      </c>
      <c r="F46" s="2">
        <v>7152.2860000000001</v>
      </c>
      <c r="G46" s="4" t="s">
        <v>30</v>
      </c>
      <c r="H46" s="6">
        <v>13</v>
      </c>
      <c r="I46" s="6">
        <v>19</v>
      </c>
      <c r="J46" s="6">
        <v>72</v>
      </c>
      <c r="K46" s="6">
        <v>6</v>
      </c>
      <c r="L46" s="4" t="s">
        <v>151</v>
      </c>
      <c r="M46" s="5">
        <v>7.5773999999999999</v>
      </c>
      <c r="N46" s="4" t="s">
        <v>155</v>
      </c>
      <c r="O46" s="4" t="s">
        <v>39</v>
      </c>
      <c r="P46" s="6">
        <v>7</v>
      </c>
      <c r="Q46" s="6">
        <v>834</v>
      </c>
      <c r="R46" s="6">
        <v>18</v>
      </c>
      <c r="S46" s="5">
        <v>22.554099999999998</v>
      </c>
      <c r="T46" s="4" t="s">
        <v>36</v>
      </c>
      <c r="U46" s="1">
        <f>supply_chain_data_1[[#This Row],[Defect_rates2]]/100</f>
        <v>2.9626263204548819E-2</v>
      </c>
      <c r="V46">
        <v>2.9626263204548819</v>
      </c>
      <c r="W46" s="4" t="s">
        <v>37</v>
      </c>
      <c r="X46" s="4" t="s">
        <v>153</v>
      </c>
      <c r="Y46" s="5">
        <v>610.45330000000001</v>
      </c>
      <c r="Z46" s="5">
        <f t="shared" si="3"/>
        <v>70.692307692307693</v>
      </c>
      <c r="AA46" s="5">
        <f t="shared" si="4"/>
        <v>640.58479999999997</v>
      </c>
      <c r="AB46" s="1">
        <f>IFERROR(supply_chain_data_1[[#This Row],[Actual_Profit]] / F46, 0)</f>
        <v>0.91043635559316283</v>
      </c>
      <c r="AC46" s="5">
        <f>F46 - supply_chain_data_1[[#This Row],[Total_Costs]]</f>
        <v>6511.7012000000004</v>
      </c>
      <c r="AD46" s="5">
        <f t="shared" si="5"/>
        <v>27.226535884980365</v>
      </c>
      <c r="AE46" s="5">
        <v>6541.8326999999999</v>
      </c>
    </row>
    <row r="47" spans="1:31" x14ac:dyDescent="0.25">
      <c r="A47" s="4" t="s">
        <v>22</v>
      </c>
      <c r="B47" s="4" t="s">
        <v>86</v>
      </c>
      <c r="C47" s="5">
        <v>33.784100000000002</v>
      </c>
      <c r="D47" s="6">
        <v>1</v>
      </c>
      <c r="E47" s="6">
        <v>24</v>
      </c>
      <c r="F47" s="2">
        <v>5267.9567999999999</v>
      </c>
      <c r="G47" s="4" t="s">
        <v>43</v>
      </c>
      <c r="H47" s="6">
        <v>93</v>
      </c>
      <c r="I47" s="6">
        <v>7</v>
      </c>
      <c r="J47" s="6">
        <v>52</v>
      </c>
      <c r="K47" s="6">
        <v>6</v>
      </c>
      <c r="L47" s="4" t="s">
        <v>145</v>
      </c>
      <c r="M47" s="5">
        <v>5.2152000000000003</v>
      </c>
      <c r="N47" s="4" t="s">
        <v>155</v>
      </c>
      <c r="O47" s="4" t="s">
        <v>49</v>
      </c>
      <c r="P47" s="6">
        <v>25</v>
      </c>
      <c r="Q47" s="6">
        <v>794</v>
      </c>
      <c r="R47" s="6">
        <v>25</v>
      </c>
      <c r="S47" s="5">
        <v>66.3125</v>
      </c>
      <c r="T47" s="4" t="s">
        <v>51</v>
      </c>
      <c r="U47" s="1">
        <f>supply_chain_data_1[[#This Row],[Defect_rates2]]/100</f>
        <v>3.2196046120841058E-2</v>
      </c>
      <c r="V47">
        <v>3.219604612084106</v>
      </c>
      <c r="W47" s="4" t="s">
        <v>37</v>
      </c>
      <c r="X47" s="4" t="s">
        <v>153</v>
      </c>
      <c r="Y47" s="5">
        <v>495.3057</v>
      </c>
      <c r="Z47" s="5">
        <f t="shared" si="3"/>
        <v>0.25806451612903225</v>
      </c>
      <c r="AA47" s="5">
        <f t="shared" si="4"/>
        <v>566.83339999999998</v>
      </c>
      <c r="AB47" s="1">
        <f>IFERROR(supply_chain_data_1[[#This Row],[Actual_Profit]] / F47, 0)</f>
        <v>0.89239976303526269</v>
      </c>
      <c r="AC47" s="5">
        <f>F47 - supply_chain_data_1[[#This Row],[Total_Costs]]</f>
        <v>4701.1234000000004</v>
      </c>
      <c r="AD47" s="5">
        <f t="shared" si="5"/>
        <v>0.77270510690018535</v>
      </c>
      <c r="AE47" s="5">
        <v>4772.6511</v>
      </c>
    </row>
    <row r="48" spans="1:31" x14ac:dyDescent="0.25">
      <c r="A48" s="4" t="s">
        <v>22</v>
      </c>
      <c r="B48" s="4" t="s">
        <v>87</v>
      </c>
      <c r="C48" s="5">
        <v>27.0822</v>
      </c>
      <c r="D48" s="6">
        <v>75</v>
      </c>
      <c r="E48" s="6">
        <v>859</v>
      </c>
      <c r="F48" s="2">
        <v>2556.7674000000002</v>
      </c>
      <c r="G48" s="4" t="s">
        <v>24</v>
      </c>
      <c r="H48" s="6">
        <v>92</v>
      </c>
      <c r="I48" s="6">
        <v>29</v>
      </c>
      <c r="J48" s="6">
        <v>6</v>
      </c>
      <c r="K48" s="6">
        <v>8</v>
      </c>
      <c r="L48" s="4" t="s">
        <v>145</v>
      </c>
      <c r="M48" s="5">
        <v>4.0709999999999997</v>
      </c>
      <c r="N48" s="4" t="s">
        <v>146</v>
      </c>
      <c r="O48" s="4" t="s">
        <v>49</v>
      </c>
      <c r="P48" s="6">
        <v>18</v>
      </c>
      <c r="Q48" s="6">
        <v>870</v>
      </c>
      <c r="R48" s="6">
        <v>23</v>
      </c>
      <c r="S48" s="5">
        <v>77.322400000000002</v>
      </c>
      <c r="T48" s="4" t="s">
        <v>26</v>
      </c>
      <c r="U48" s="1">
        <f>supply_chain_data_1[[#This Row],[Defect_rates2]]/100</f>
        <v>3.6486105925362035E-2</v>
      </c>
      <c r="V48">
        <v>3.6486105925362033</v>
      </c>
      <c r="W48" s="4" t="s">
        <v>27</v>
      </c>
      <c r="X48" s="4" t="s">
        <v>147</v>
      </c>
      <c r="Y48" s="5">
        <v>380.4359</v>
      </c>
      <c r="Z48" s="5">
        <f t="shared" si="3"/>
        <v>9.3369565217391308</v>
      </c>
      <c r="AA48" s="5">
        <f t="shared" si="4"/>
        <v>461.82929999999999</v>
      </c>
      <c r="AB48" s="1">
        <f>IFERROR(supply_chain_data_1[[#This Row],[Actual_Profit]] / F48, 0)</f>
        <v>0.8193698417775509</v>
      </c>
      <c r="AC48" s="5">
        <f>F48 - supply_chain_data_1[[#This Row],[Total_Costs]]</f>
        <v>2094.9381000000003</v>
      </c>
      <c r="AD48" s="5">
        <f t="shared" si="5"/>
        <v>31.341564989885988</v>
      </c>
      <c r="AE48" s="5">
        <v>2176.3314999999998</v>
      </c>
    </row>
    <row r="49" spans="1:31" x14ac:dyDescent="0.25">
      <c r="A49" s="4" t="s">
        <v>28</v>
      </c>
      <c r="B49" s="4" t="s">
        <v>88</v>
      </c>
      <c r="C49" s="5">
        <v>95.712100000000007</v>
      </c>
      <c r="D49" s="6">
        <v>93</v>
      </c>
      <c r="E49" s="6">
        <v>910</v>
      </c>
      <c r="F49" s="2">
        <v>7089.4741999999997</v>
      </c>
      <c r="G49" s="4" t="s">
        <v>43</v>
      </c>
      <c r="H49" s="6">
        <v>4</v>
      </c>
      <c r="I49" s="6">
        <v>15</v>
      </c>
      <c r="J49" s="6">
        <v>51</v>
      </c>
      <c r="K49" s="6">
        <v>9</v>
      </c>
      <c r="L49" s="4" t="s">
        <v>145</v>
      </c>
      <c r="M49" s="5">
        <v>8.9787999999999997</v>
      </c>
      <c r="N49" s="4" t="s">
        <v>149</v>
      </c>
      <c r="O49" s="4" t="s">
        <v>35</v>
      </c>
      <c r="P49" s="6">
        <v>10</v>
      </c>
      <c r="Q49" s="6">
        <v>964</v>
      </c>
      <c r="R49" s="6">
        <v>20</v>
      </c>
      <c r="S49" s="5">
        <v>19.713000000000001</v>
      </c>
      <c r="T49" s="4" t="s">
        <v>26</v>
      </c>
      <c r="U49" s="1">
        <f>supply_chain_data_1[[#This Row],[Defect_rates2]]/100</f>
        <v>3.805735867132138E-3</v>
      </c>
      <c r="V49">
        <v>0.38057358671321379</v>
      </c>
      <c r="W49" s="4" t="s">
        <v>37</v>
      </c>
      <c r="X49" s="4" t="s">
        <v>153</v>
      </c>
      <c r="Y49" s="5">
        <v>581.60239999999999</v>
      </c>
      <c r="Z49" s="5">
        <f t="shared" si="3"/>
        <v>227.5</v>
      </c>
      <c r="AA49" s="5">
        <f t="shared" si="4"/>
        <v>610.29420000000005</v>
      </c>
      <c r="AB49" s="1">
        <f>IFERROR(supply_chain_data_1[[#This Row],[Actual_Profit]] / F49, 0)</f>
        <v>0.91391544947014547</v>
      </c>
      <c r="AC49" s="5">
        <f>F49 - supply_chain_data_1[[#This Row],[Total_Costs]]</f>
        <v>6479.1799999999994</v>
      </c>
      <c r="AD49" s="5">
        <f t="shared" si="5"/>
        <v>3.4632196390902457</v>
      </c>
      <c r="AE49" s="5">
        <v>6507.8717999999999</v>
      </c>
    </row>
    <row r="50" spans="1:31" x14ac:dyDescent="0.25">
      <c r="A50" s="4" t="s">
        <v>22</v>
      </c>
      <c r="B50" s="4" t="s">
        <v>89</v>
      </c>
      <c r="C50" s="5">
        <v>76.035499999999999</v>
      </c>
      <c r="D50" s="6">
        <v>28</v>
      </c>
      <c r="E50" s="6">
        <v>29</v>
      </c>
      <c r="F50" s="2">
        <v>7397.0709999999999</v>
      </c>
      <c r="G50" s="4" t="s">
        <v>24</v>
      </c>
      <c r="H50" s="6">
        <v>30</v>
      </c>
      <c r="I50" s="6">
        <v>16</v>
      </c>
      <c r="J50" s="6">
        <v>9</v>
      </c>
      <c r="K50" s="6">
        <v>3</v>
      </c>
      <c r="L50" s="4" t="s">
        <v>151</v>
      </c>
      <c r="M50" s="5">
        <v>7.0957999999999997</v>
      </c>
      <c r="N50" s="4" t="s">
        <v>155</v>
      </c>
      <c r="O50" s="4" t="s">
        <v>25</v>
      </c>
      <c r="P50" s="6">
        <v>9</v>
      </c>
      <c r="Q50" s="6">
        <v>109</v>
      </c>
      <c r="R50" s="6">
        <v>18</v>
      </c>
      <c r="S50" s="5">
        <v>23.1264</v>
      </c>
      <c r="T50" s="4" t="s">
        <v>36</v>
      </c>
      <c r="U50" s="1">
        <f>supply_chain_data_1[[#This Row],[Defect_rates2]]/100</f>
        <v>1.6981125407144037E-2</v>
      </c>
      <c r="V50">
        <v>1.6981125407144038</v>
      </c>
      <c r="W50" s="4" t="s">
        <v>37</v>
      </c>
      <c r="X50" s="4" t="s">
        <v>147</v>
      </c>
      <c r="Y50" s="5">
        <v>768.65189999999996</v>
      </c>
      <c r="Z50" s="5">
        <f t="shared" si="3"/>
        <v>0.96666666666666667</v>
      </c>
      <c r="AA50" s="5">
        <f t="shared" si="4"/>
        <v>798.8741</v>
      </c>
      <c r="AB50" s="1">
        <f>IFERROR(supply_chain_data_1[[#This Row],[Actual_Profit]] / F50, 0)</f>
        <v>0.89200129348494828</v>
      </c>
      <c r="AC50" s="5">
        <f>F50 - supply_chain_data_1[[#This Row],[Total_Costs]]</f>
        <v>6598.1968999999999</v>
      </c>
      <c r="AD50" s="5">
        <f t="shared" si="5"/>
        <v>0.49245263680717705</v>
      </c>
      <c r="AE50" s="5">
        <v>6628.4191000000001</v>
      </c>
    </row>
    <row r="51" spans="1:31" x14ac:dyDescent="0.25">
      <c r="A51" s="4" t="s">
        <v>45</v>
      </c>
      <c r="B51" s="4" t="s">
        <v>90</v>
      </c>
      <c r="C51" s="5">
        <v>78.897900000000007</v>
      </c>
      <c r="D51" s="6">
        <v>19</v>
      </c>
      <c r="E51" s="6">
        <v>99</v>
      </c>
      <c r="F51" s="2">
        <v>8001.6131999999998</v>
      </c>
      <c r="G51" s="4" t="s">
        <v>32</v>
      </c>
      <c r="H51" s="6">
        <v>97</v>
      </c>
      <c r="I51" s="6">
        <v>24</v>
      </c>
      <c r="J51" s="6">
        <v>9</v>
      </c>
      <c r="K51" s="6">
        <v>6</v>
      </c>
      <c r="L51" s="4" t="s">
        <v>151</v>
      </c>
      <c r="M51" s="5">
        <v>2.5055999999999998</v>
      </c>
      <c r="N51" s="4" t="s">
        <v>152</v>
      </c>
      <c r="O51" s="4" t="s">
        <v>39</v>
      </c>
      <c r="P51" s="6">
        <v>28</v>
      </c>
      <c r="Q51" s="6">
        <v>177</v>
      </c>
      <c r="R51" s="6">
        <v>28</v>
      </c>
      <c r="S51" s="5">
        <v>14.1478</v>
      </c>
      <c r="T51" s="4" t="s">
        <v>51</v>
      </c>
      <c r="U51" s="1">
        <f>supply_chain_data_1[[#This Row],[Defect_rates2]]/100</f>
        <v>2.8258139854001319E-2</v>
      </c>
      <c r="V51">
        <v>2.8258139854001318</v>
      </c>
      <c r="W51" s="4" t="s">
        <v>37</v>
      </c>
      <c r="X51" s="4" t="s">
        <v>153</v>
      </c>
      <c r="Y51" s="5">
        <v>336.89019999999999</v>
      </c>
      <c r="Z51" s="5">
        <f t="shared" si="3"/>
        <v>1.0206185567010309</v>
      </c>
      <c r="AA51" s="5">
        <f t="shared" si="4"/>
        <v>353.54359999999997</v>
      </c>
      <c r="AB51" s="1">
        <f>IFERROR(supply_chain_data_1[[#This Row],[Actual_Profit]] / F51, 0)</f>
        <v>0.95581595971172417</v>
      </c>
      <c r="AC51" s="5">
        <f>F51 - supply_chain_data_1[[#This Row],[Total_Costs]]</f>
        <v>7648.0695999999998</v>
      </c>
      <c r="AD51" s="5">
        <f t="shared" si="5"/>
        <v>2.7975558455461305</v>
      </c>
      <c r="AE51" s="5">
        <v>7664.723</v>
      </c>
    </row>
    <row r="52" spans="1:31" x14ac:dyDescent="0.25">
      <c r="A52" s="4" t="s">
        <v>45</v>
      </c>
      <c r="B52" s="4" t="s">
        <v>91</v>
      </c>
      <c r="C52" s="5">
        <v>14.2035</v>
      </c>
      <c r="D52" s="6">
        <v>91</v>
      </c>
      <c r="E52" s="6">
        <v>633</v>
      </c>
      <c r="F52" s="2">
        <v>5910.8854000000001</v>
      </c>
      <c r="G52" s="4" t="s">
        <v>30</v>
      </c>
      <c r="H52" s="6">
        <v>31</v>
      </c>
      <c r="I52" s="6">
        <v>23</v>
      </c>
      <c r="J52" s="6">
        <v>82</v>
      </c>
      <c r="K52" s="6">
        <v>10</v>
      </c>
      <c r="L52" s="4" t="s">
        <v>148</v>
      </c>
      <c r="M52" s="5">
        <v>6.2478999999999996</v>
      </c>
      <c r="N52" s="4" t="s">
        <v>155</v>
      </c>
      <c r="O52" s="4" t="s">
        <v>39</v>
      </c>
      <c r="P52" s="6">
        <v>20</v>
      </c>
      <c r="Q52" s="6">
        <v>306</v>
      </c>
      <c r="R52" s="6">
        <v>21</v>
      </c>
      <c r="S52" s="5">
        <v>45.178800000000003</v>
      </c>
      <c r="T52" s="4" t="s">
        <v>36</v>
      </c>
      <c r="U52" s="1">
        <f>supply_chain_data_1[[#This Row],[Defect_rates2]]/100</f>
        <v>4.7548008046711852E-2</v>
      </c>
      <c r="V52">
        <v>4.7548008046711852</v>
      </c>
      <c r="W52" s="4" t="s">
        <v>37</v>
      </c>
      <c r="X52" s="4" t="s">
        <v>147</v>
      </c>
      <c r="Y52" s="5">
        <v>496.24869999999999</v>
      </c>
      <c r="Z52" s="5">
        <f t="shared" si="3"/>
        <v>20.419354838709676</v>
      </c>
      <c r="AA52" s="5">
        <f t="shared" si="4"/>
        <v>547.67539999999997</v>
      </c>
      <c r="AB52" s="1">
        <f>IFERROR(supply_chain_data_1[[#This Row],[Actual_Profit]] / F52, 0)</f>
        <v>0.90734460864357136</v>
      </c>
      <c r="AC52" s="5">
        <f>F52 - supply_chain_data_1[[#This Row],[Total_Costs]]</f>
        <v>5363.21</v>
      </c>
      <c r="AD52" s="5">
        <f t="shared" si="5"/>
        <v>30.097889093568604</v>
      </c>
      <c r="AE52" s="5">
        <v>5414.6367</v>
      </c>
    </row>
    <row r="53" spans="1:31" x14ac:dyDescent="0.25">
      <c r="A53" s="4" t="s">
        <v>22</v>
      </c>
      <c r="B53" s="4" t="s">
        <v>92</v>
      </c>
      <c r="C53" s="5">
        <v>26.700800000000001</v>
      </c>
      <c r="D53" s="6">
        <v>61</v>
      </c>
      <c r="E53" s="6">
        <v>154</v>
      </c>
      <c r="F53" s="2">
        <v>9866.4655000000002</v>
      </c>
      <c r="G53" s="4" t="s">
        <v>43</v>
      </c>
      <c r="H53" s="6">
        <v>100</v>
      </c>
      <c r="I53" s="6">
        <v>4</v>
      </c>
      <c r="J53" s="6">
        <v>52</v>
      </c>
      <c r="K53" s="6">
        <v>1</v>
      </c>
      <c r="L53" s="4" t="s">
        <v>148</v>
      </c>
      <c r="M53" s="5">
        <v>4.7830000000000004</v>
      </c>
      <c r="N53" s="4" t="s">
        <v>152</v>
      </c>
      <c r="O53" s="4" t="s">
        <v>41</v>
      </c>
      <c r="P53" s="6">
        <v>18</v>
      </c>
      <c r="Q53" s="6">
        <v>673</v>
      </c>
      <c r="R53" s="6">
        <v>28</v>
      </c>
      <c r="S53" s="5">
        <v>14.190300000000001</v>
      </c>
      <c r="T53" s="4" t="s">
        <v>26</v>
      </c>
      <c r="U53" s="1">
        <f>supply_chain_data_1[[#This Row],[Defect_rates2]]/100</f>
        <v>1.7729511720835572E-2</v>
      </c>
      <c r="V53">
        <v>1.7729511720835571</v>
      </c>
      <c r="W53" s="4" t="s">
        <v>27</v>
      </c>
      <c r="X53" s="4" t="s">
        <v>153</v>
      </c>
      <c r="Y53" s="5">
        <v>694.98230000000001</v>
      </c>
      <c r="Z53" s="5">
        <f t="shared" si="3"/>
        <v>1.54</v>
      </c>
      <c r="AA53" s="5">
        <f t="shared" si="4"/>
        <v>713.9556</v>
      </c>
      <c r="AB53" s="1">
        <f>IFERROR(supply_chain_data_1[[#This Row],[Actual_Profit]] / F53, 0)</f>
        <v>0.92763815978477815</v>
      </c>
      <c r="AC53" s="5">
        <f>F53 - supply_chain_data_1[[#This Row],[Total_Costs]]</f>
        <v>9152.5099000000009</v>
      </c>
      <c r="AD53" s="5">
        <f t="shared" si="5"/>
        <v>2.730344805008678</v>
      </c>
      <c r="AE53" s="5">
        <v>9171.4832000000006</v>
      </c>
    </row>
    <row r="54" spans="1:31" x14ac:dyDescent="0.25">
      <c r="A54" s="4" t="s">
        <v>28</v>
      </c>
      <c r="B54" s="4" t="s">
        <v>93</v>
      </c>
      <c r="C54" s="5">
        <v>98.031800000000004</v>
      </c>
      <c r="D54" s="6">
        <v>1</v>
      </c>
      <c r="E54" s="6">
        <v>820</v>
      </c>
      <c r="F54" s="2">
        <v>9435.7626</v>
      </c>
      <c r="G54" s="4" t="s">
        <v>43</v>
      </c>
      <c r="H54" s="6">
        <v>64</v>
      </c>
      <c r="I54" s="6">
        <v>11</v>
      </c>
      <c r="J54" s="6">
        <v>11</v>
      </c>
      <c r="K54" s="6">
        <v>1</v>
      </c>
      <c r="L54" s="4" t="s">
        <v>145</v>
      </c>
      <c r="M54" s="5">
        <v>8.6311</v>
      </c>
      <c r="N54" s="4" t="s">
        <v>149</v>
      </c>
      <c r="O54" s="4" t="s">
        <v>25</v>
      </c>
      <c r="P54" s="6">
        <v>10</v>
      </c>
      <c r="Q54" s="6">
        <v>727</v>
      </c>
      <c r="R54" s="6">
        <v>27</v>
      </c>
      <c r="S54" s="5">
        <v>9.1668000000000003</v>
      </c>
      <c r="T54" s="4" t="s">
        <v>26</v>
      </c>
      <c r="U54" s="1">
        <f>supply_chain_data_1[[#This Row],[Defect_rates2]]/100</f>
        <v>2.1224716191438245E-2</v>
      </c>
      <c r="V54">
        <v>2.1224716191438247</v>
      </c>
      <c r="W54" s="4" t="s">
        <v>33</v>
      </c>
      <c r="X54" s="4" t="s">
        <v>150</v>
      </c>
      <c r="Y54" s="5">
        <v>602.89850000000001</v>
      </c>
      <c r="Z54" s="5">
        <f t="shared" si="3"/>
        <v>12.8125</v>
      </c>
      <c r="AA54" s="5">
        <f t="shared" si="4"/>
        <v>620.69640000000004</v>
      </c>
      <c r="AB54" s="1">
        <f>IFERROR(supply_chain_data_1[[#This Row],[Actual_Profit]] / F54, 0)</f>
        <v>0.93421873500717356</v>
      </c>
      <c r="AC54" s="5">
        <f>F54 - supply_chain_data_1[[#This Row],[Total_Costs]]</f>
        <v>8815.0661999999993</v>
      </c>
      <c r="AD54" s="5">
        <f t="shared" si="5"/>
        <v>17.404267276979361</v>
      </c>
      <c r="AE54" s="5">
        <v>8832.8641000000007</v>
      </c>
    </row>
    <row r="55" spans="1:31" x14ac:dyDescent="0.25">
      <c r="A55" s="4" t="s">
        <v>28</v>
      </c>
      <c r="B55" s="4" t="s">
        <v>94</v>
      </c>
      <c r="C55" s="5">
        <v>30.3415</v>
      </c>
      <c r="D55" s="6">
        <v>93</v>
      </c>
      <c r="E55" s="6">
        <v>242</v>
      </c>
      <c r="F55" s="2">
        <v>8232.3348000000005</v>
      </c>
      <c r="G55" s="4" t="s">
        <v>43</v>
      </c>
      <c r="H55" s="6">
        <v>96</v>
      </c>
      <c r="I55" s="6">
        <v>25</v>
      </c>
      <c r="J55" s="6">
        <v>54</v>
      </c>
      <c r="K55" s="6">
        <v>3</v>
      </c>
      <c r="L55" s="4" t="s">
        <v>145</v>
      </c>
      <c r="M55" s="5">
        <v>1.0135000000000001</v>
      </c>
      <c r="N55" s="4" t="s">
        <v>149</v>
      </c>
      <c r="O55" s="4" t="s">
        <v>39</v>
      </c>
      <c r="P55" s="6">
        <v>1</v>
      </c>
      <c r="Q55" s="6">
        <v>631</v>
      </c>
      <c r="R55" s="6">
        <v>17</v>
      </c>
      <c r="S55" s="5">
        <v>83.344099999999997</v>
      </c>
      <c r="T55" s="4" t="s">
        <v>26</v>
      </c>
      <c r="U55" s="1">
        <f>supply_chain_data_1[[#This Row],[Defect_rates2]]/100</f>
        <v>1.4103475760760271E-2</v>
      </c>
      <c r="V55">
        <v>1.4103475760760271</v>
      </c>
      <c r="W55" s="4" t="s">
        <v>33</v>
      </c>
      <c r="X55" s="4" t="s">
        <v>147</v>
      </c>
      <c r="Y55" s="5">
        <v>750.73779999999999</v>
      </c>
      <c r="Z55" s="5">
        <f t="shared" si="3"/>
        <v>2.5208333333333335</v>
      </c>
      <c r="AA55" s="5">
        <f t="shared" si="4"/>
        <v>835.09539999999993</v>
      </c>
      <c r="AB55" s="1">
        <f>IFERROR(supply_chain_data_1[[#This Row],[Actual_Profit]] / F55, 0)</f>
        <v>0.89855910622099577</v>
      </c>
      <c r="AC55" s="5">
        <f>F55 - supply_chain_data_1[[#This Row],[Total_Costs]]</f>
        <v>7397.2394000000004</v>
      </c>
      <c r="AD55" s="5">
        <f t="shared" si="5"/>
        <v>3.4130411341039859</v>
      </c>
      <c r="AE55" s="5">
        <v>7481.5969999999998</v>
      </c>
    </row>
    <row r="56" spans="1:31" x14ac:dyDescent="0.25">
      <c r="A56" s="4" t="s">
        <v>22</v>
      </c>
      <c r="B56" s="4" t="s">
        <v>95</v>
      </c>
      <c r="C56" s="5">
        <v>31.1462</v>
      </c>
      <c r="D56" s="6">
        <v>11</v>
      </c>
      <c r="E56" s="6">
        <v>622</v>
      </c>
      <c r="F56" s="2">
        <v>6088.0214999999998</v>
      </c>
      <c r="G56" s="4" t="s">
        <v>24</v>
      </c>
      <c r="H56" s="6">
        <v>33</v>
      </c>
      <c r="I56" s="6">
        <v>22</v>
      </c>
      <c r="J56" s="6">
        <v>61</v>
      </c>
      <c r="K56" s="6">
        <v>3</v>
      </c>
      <c r="L56" s="4" t="s">
        <v>145</v>
      </c>
      <c r="M56" s="5">
        <v>4.3051000000000004</v>
      </c>
      <c r="N56" s="4" t="s">
        <v>149</v>
      </c>
      <c r="O56" s="4" t="s">
        <v>35</v>
      </c>
      <c r="P56" s="6">
        <v>26</v>
      </c>
      <c r="Q56" s="6">
        <v>497</v>
      </c>
      <c r="R56" s="6">
        <v>29</v>
      </c>
      <c r="S56" s="5">
        <v>30.186</v>
      </c>
      <c r="T56" s="4" t="s">
        <v>51</v>
      </c>
      <c r="U56" s="1">
        <f>supply_chain_data_1[[#This Row],[Defect_rates2]]/100</f>
        <v>2.4787719755397477E-2</v>
      </c>
      <c r="V56">
        <v>2.4787719755397477</v>
      </c>
      <c r="W56" s="4" t="s">
        <v>27</v>
      </c>
      <c r="X56" s="4" t="s">
        <v>147</v>
      </c>
      <c r="Y56" s="5">
        <v>814.07</v>
      </c>
      <c r="Z56" s="5">
        <f t="shared" si="3"/>
        <v>18.848484848484848</v>
      </c>
      <c r="AA56" s="5">
        <f t="shared" si="4"/>
        <v>848.56110000000001</v>
      </c>
      <c r="AB56" s="1">
        <f>IFERROR(supply_chain_data_1[[#This Row],[Actual_Profit]] / F56, 0)</f>
        <v>0.86061791995971104</v>
      </c>
      <c r="AC56" s="5">
        <f>F56 - supply_chain_data_1[[#This Row],[Total_Costs]]</f>
        <v>5239.4603999999999</v>
      </c>
      <c r="AD56" s="5">
        <f t="shared" si="5"/>
        <v>15.417961687857231</v>
      </c>
      <c r="AE56" s="5">
        <v>5273.9515000000001</v>
      </c>
    </row>
    <row r="57" spans="1:31" x14ac:dyDescent="0.25">
      <c r="A57" s="4" t="s">
        <v>22</v>
      </c>
      <c r="B57" s="4" t="s">
        <v>96</v>
      </c>
      <c r="C57" s="5">
        <v>79.855099999999993</v>
      </c>
      <c r="D57" s="6">
        <v>16</v>
      </c>
      <c r="E57" s="6">
        <v>701</v>
      </c>
      <c r="F57" s="2">
        <v>2925.6752000000001</v>
      </c>
      <c r="G57" s="4" t="s">
        <v>43</v>
      </c>
      <c r="H57" s="6">
        <v>97</v>
      </c>
      <c r="I57" s="6">
        <v>11</v>
      </c>
      <c r="J57" s="6">
        <v>11</v>
      </c>
      <c r="K57" s="6">
        <v>5</v>
      </c>
      <c r="L57" s="4" t="s">
        <v>148</v>
      </c>
      <c r="M57" s="5">
        <v>5.0144000000000002</v>
      </c>
      <c r="N57" s="4" t="s">
        <v>155</v>
      </c>
      <c r="O57" s="4" t="s">
        <v>39</v>
      </c>
      <c r="P57" s="6">
        <v>27</v>
      </c>
      <c r="Q57" s="6">
        <v>918</v>
      </c>
      <c r="R57" s="6">
        <v>5</v>
      </c>
      <c r="S57" s="5">
        <v>30.323499999999999</v>
      </c>
      <c r="T57" s="4" t="s">
        <v>36</v>
      </c>
      <c r="U57" s="1">
        <f>supply_chain_data_1[[#This Row],[Defect_rates2]]/100</f>
        <v>4.5489196593963853E-2</v>
      </c>
      <c r="V57">
        <v>4.5489196593963852</v>
      </c>
      <c r="W57" s="4" t="s">
        <v>44</v>
      </c>
      <c r="X57" s="4" t="s">
        <v>147</v>
      </c>
      <c r="Y57" s="5">
        <v>323.0129</v>
      </c>
      <c r="Z57" s="5">
        <f t="shared" si="3"/>
        <v>7.2268041237113403</v>
      </c>
      <c r="AA57" s="5">
        <f t="shared" si="4"/>
        <v>358.35079999999999</v>
      </c>
      <c r="AB57" s="1">
        <f>IFERROR(supply_chain_data_1[[#This Row],[Actual_Profit]] / F57, 0)</f>
        <v>0.87751518008560891</v>
      </c>
      <c r="AC57" s="5">
        <f>F57 - supply_chain_data_1[[#This Row],[Total_Costs]]</f>
        <v>2567.3244</v>
      </c>
      <c r="AD57" s="5">
        <f t="shared" si="5"/>
        <v>31.887926812368661</v>
      </c>
      <c r="AE57" s="5">
        <v>2602.6623</v>
      </c>
    </row>
    <row r="58" spans="1:31" x14ac:dyDescent="0.25">
      <c r="A58" s="4" t="s">
        <v>28</v>
      </c>
      <c r="B58" s="4" t="s">
        <v>97</v>
      </c>
      <c r="C58" s="5">
        <v>20.9864</v>
      </c>
      <c r="D58" s="6">
        <v>90</v>
      </c>
      <c r="E58" s="6">
        <v>93</v>
      </c>
      <c r="F58" s="2">
        <v>4767.0204999999996</v>
      </c>
      <c r="G58" s="4" t="s">
        <v>24</v>
      </c>
      <c r="H58" s="6">
        <v>25</v>
      </c>
      <c r="I58" s="6">
        <v>23</v>
      </c>
      <c r="J58" s="6">
        <v>83</v>
      </c>
      <c r="K58" s="6">
        <v>5</v>
      </c>
      <c r="L58" s="4" t="s">
        <v>151</v>
      </c>
      <c r="M58" s="5">
        <v>1.7744</v>
      </c>
      <c r="N58" s="4" t="s">
        <v>149</v>
      </c>
      <c r="O58" s="4" t="s">
        <v>25</v>
      </c>
      <c r="P58" s="6">
        <v>24</v>
      </c>
      <c r="Q58" s="6">
        <v>826</v>
      </c>
      <c r="R58" s="6">
        <v>28</v>
      </c>
      <c r="S58" s="5">
        <v>12.8363</v>
      </c>
      <c r="T58" s="4" t="s">
        <v>51</v>
      </c>
      <c r="U58" s="1">
        <f>supply_chain_data_1[[#This Row],[Defect_rates2]]/100</f>
        <v>1.1737554953874541E-2</v>
      </c>
      <c r="V58">
        <v>1.1737554953874541</v>
      </c>
      <c r="W58" s="4" t="s">
        <v>33</v>
      </c>
      <c r="X58" s="4" t="s">
        <v>147</v>
      </c>
      <c r="Y58" s="5">
        <v>832.21079999999995</v>
      </c>
      <c r="Z58" s="5">
        <f t="shared" si="3"/>
        <v>3.72</v>
      </c>
      <c r="AA58" s="5">
        <f t="shared" si="4"/>
        <v>846.8214999999999</v>
      </c>
      <c r="AB58" s="1">
        <f>IFERROR(supply_chain_data_1[[#This Row],[Actual_Profit]] / F58, 0)</f>
        <v>0.82235832633822314</v>
      </c>
      <c r="AC58" s="5">
        <f>F58 - supply_chain_data_1[[#This Row],[Total_Costs]]</f>
        <v>3920.1989999999996</v>
      </c>
      <c r="AD58" s="5">
        <f t="shared" si="5"/>
        <v>1.0915926107103322</v>
      </c>
      <c r="AE58" s="5">
        <v>3934.8096999999998</v>
      </c>
    </row>
    <row r="59" spans="1:31" x14ac:dyDescent="0.25">
      <c r="A59" s="4" t="s">
        <v>22</v>
      </c>
      <c r="B59" s="4" t="s">
        <v>98</v>
      </c>
      <c r="C59" s="5">
        <v>49.263199999999998</v>
      </c>
      <c r="D59" s="6">
        <v>65</v>
      </c>
      <c r="E59" s="6">
        <v>227</v>
      </c>
      <c r="F59" s="2">
        <v>1605.8669</v>
      </c>
      <c r="G59" s="4" t="s">
        <v>32</v>
      </c>
      <c r="H59" s="6">
        <v>5</v>
      </c>
      <c r="I59" s="6">
        <v>18</v>
      </c>
      <c r="J59" s="6">
        <v>51</v>
      </c>
      <c r="K59" s="6">
        <v>1</v>
      </c>
      <c r="L59" s="4" t="s">
        <v>145</v>
      </c>
      <c r="M59" s="5">
        <v>9.1606000000000005</v>
      </c>
      <c r="N59" s="4" t="s">
        <v>155</v>
      </c>
      <c r="O59" s="4" t="s">
        <v>39</v>
      </c>
      <c r="P59" s="6">
        <v>21</v>
      </c>
      <c r="Q59" s="6">
        <v>588</v>
      </c>
      <c r="R59" s="6">
        <v>25</v>
      </c>
      <c r="S59" s="5">
        <v>67.779600000000002</v>
      </c>
      <c r="T59" s="4" t="s">
        <v>26</v>
      </c>
      <c r="U59" s="1">
        <f>supply_chain_data_1[[#This Row],[Defect_rates2]]/100</f>
        <v>2.511174830212707E-2</v>
      </c>
      <c r="V59">
        <v>2.511174830212707</v>
      </c>
      <c r="W59" s="4" t="s">
        <v>37</v>
      </c>
      <c r="X59" s="4" t="s">
        <v>153</v>
      </c>
      <c r="Y59" s="5">
        <v>482.19119999999998</v>
      </c>
      <c r="Z59" s="5">
        <f t="shared" si="3"/>
        <v>45.4</v>
      </c>
      <c r="AA59" s="5">
        <f t="shared" si="4"/>
        <v>559.13139999999999</v>
      </c>
      <c r="AB59" s="1">
        <f>IFERROR(supply_chain_data_1[[#This Row],[Actual_Profit]] / F59, 0)</f>
        <v>0.65181958728958178</v>
      </c>
      <c r="AC59" s="5">
        <f>F59 - supply_chain_data_1[[#This Row],[Total_Costs]]</f>
        <v>1046.7355</v>
      </c>
      <c r="AD59" s="5">
        <f t="shared" si="5"/>
        <v>5.7003668645828451</v>
      </c>
      <c r="AE59" s="5">
        <v>1123.6757</v>
      </c>
    </row>
    <row r="60" spans="1:31" x14ac:dyDescent="0.25">
      <c r="A60" s="4" t="s">
        <v>28</v>
      </c>
      <c r="B60" s="4" t="s">
        <v>99</v>
      </c>
      <c r="C60" s="5">
        <v>59.8416</v>
      </c>
      <c r="D60" s="6">
        <v>81</v>
      </c>
      <c r="E60" s="6">
        <v>896</v>
      </c>
      <c r="F60" s="2">
        <v>2021.1497999999999</v>
      </c>
      <c r="G60" s="4" t="s">
        <v>24</v>
      </c>
      <c r="H60" s="6">
        <v>10</v>
      </c>
      <c r="I60" s="6">
        <v>5</v>
      </c>
      <c r="J60" s="6">
        <v>44</v>
      </c>
      <c r="K60" s="6">
        <v>7</v>
      </c>
      <c r="L60" s="4" t="s">
        <v>148</v>
      </c>
      <c r="M60" s="5">
        <v>4.9383999999999997</v>
      </c>
      <c r="N60" s="4" t="s">
        <v>146</v>
      </c>
      <c r="O60" s="4" t="s">
        <v>39</v>
      </c>
      <c r="P60" s="6">
        <v>18</v>
      </c>
      <c r="Q60" s="6">
        <v>396</v>
      </c>
      <c r="R60" s="6">
        <v>7</v>
      </c>
      <c r="S60" s="5">
        <v>65.047399999999996</v>
      </c>
      <c r="T60" s="4" t="s">
        <v>36</v>
      </c>
      <c r="U60" s="1">
        <f>supply_chain_data_1[[#This Row],[Defect_rates2]]/100</f>
        <v>1.7303747198591967E-2</v>
      </c>
      <c r="V60">
        <v>1.7303747198591968</v>
      </c>
      <c r="W60" s="4" t="s">
        <v>27</v>
      </c>
      <c r="X60" s="4" t="s">
        <v>147</v>
      </c>
      <c r="Y60" s="5">
        <v>110.3643</v>
      </c>
      <c r="Z60" s="5">
        <f t="shared" si="3"/>
        <v>89.6</v>
      </c>
      <c r="AA60" s="5">
        <f t="shared" si="4"/>
        <v>180.3501</v>
      </c>
      <c r="AB60" s="1">
        <f>IFERROR(supply_chain_data_1[[#This Row],[Actual_Profit]] / F60, 0)</f>
        <v>0.91076856351765723</v>
      </c>
      <c r="AC60" s="5">
        <f>F60 - supply_chain_data_1[[#This Row],[Total_Costs]]</f>
        <v>1840.7997</v>
      </c>
      <c r="AD60" s="5">
        <f t="shared" si="5"/>
        <v>15.504157489938402</v>
      </c>
      <c r="AE60" s="5">
        <v>1910.7855</v>
      </c>
    </row>
    <row r="61" spans="1:31" x14ac:dyDescent="0.25">
      <c r="A61" s="4" t="s">
        <v>45</v>
      </c>
      <c r="B61" s="4" t="s">
        <v>100</v>
      </c>
      <c r="C61" s="5">
        <v>63.828400000000002</v>
      </c>
      <c r="D61" s="6">
        <v>30</v>
      </c>
      <c r="E61" s="6">
        <v>484</v>
      </c>
      <c r="F61" s="2">
        <v>1061.6185</v>
      </c>
      <c r="G61" s="4" t="s">
        <v>24</v>
      </c>
      <c r="H61" s="6">
        <v>100</v>
      </c>
      <c r="I61" s="6">
        <v>16</v>
      </c>
      <c r="J61" s="6">
        <v>26</v>
      </c>
      <c r="K61" s="6">
        <v>7</v>
      </c>
      <c r="L61" s="4" t="s">
        <v>145</v>
      </c>
      <c r="M61" s="5">
        <v>7.2937000000000003</v>
      </c>
      <c r="N61" s="4" t="s">
        <v>149</v>
      </c>
      <c r="O61" s="4" t="s">
        <v>35</v>
      </c>
      <c r="P61" s="6">
        <v>11</v>
      </c>
      <c r="Q61" s="6">
        <v>176</v>
      </c>
      <c r="R61" s="6">
        <v>4</v>
      </c>
      <c r="S61" s="5">
        <v>1.9008</v>
      </c>
      <c r="T61" s="4" t="s">
        <v>36</v>
      </c>
      <c r="U61" s="1">
        <f>supply_chain_data_1[[#This Row],[Defect_rates2]]/100</f>
        <v>4.4719401546382317E-3</v>
      </c>
      <c r="V61">
        <v>0.4471940154638232</v>
      </c>
      <c r="W61" s="4" t="s">
        <v>33</v>
      </c>
      <c r="X61" s="4" t="s">
        <v>153</v>
      </c>
      <c r="Y61" s="5">
        <v>312.57429999999999</v>
      </c>
      <c r="Z61" s="5">
        <f t="shared" si="3"/>
        <v>4.84</v>
      </c>
      <c r="AA61" s="5">
        <f t="shared" si="4"/>
        <v>321.7688</v>
      </c>
      <c r="AB61" s="1">
        <f>IFERROR(supply_chain_data_1[[#This Row],[Actual_Profit]] / F61, 0)</f>
        <v>0.69690731651718574</v>
      </c>
      <c r="AC61" s="5">
        <f>F61 - supply_chain_data_1[[#This Row],[Total_Costs]]</f>
        <v>739.84969999999998</v>
      </c>
      <c r="AD61" s="5">
        <f t="shared" si="5"/>
        <v>2.1644190348449039</v>
      </c>
      <c r="AE61" s="5">
        <v>749.04420000000005</v>
      </c>
    </row>
    <row r="62" spans="1:31" x14ac:dyDescent="0.25">
      <c r="A62" s="4" t="s">
        <v>28</v>
      </c>
      <c r="B62" s="4" t="s">
        <v>101</v>
      </c>
      <c r="C62" s="5">
        <v>17.027999999999999</v>
      </c>
      <c r="D62" s="6">
        <v>16</v>
      </c>
      <c r="E62" s="6">
        <v>380</v>
      </c>
      <c r="F62" s="2">
        <v>8864.0843000000004</v>
      </c>
      <c r="G62" s="4" t="s">
        <v>30</v>
      </c>
      <c r="H62" s="6">
        <v>41</v>
      </c>
      <c r="I62" s="6">
        <v>27</v>
      </c>
      <c r="J62" s="6">
        <v>72</v>
      </c>
      <c r="K62" s="6">
        <v>8</v>
      </c>
      <c r="L62" s="4" t="s">
        <v>151</v>
      </c>
      <c r="M62" s="5">
        <v>4.3814000000000002</v>
      </c>
      <c r="N62" s="4" t="s">
        <v>154</v>
      </c>
      <c r="O62" s="4" t="s">
        <v>25</v>
      </c>
      <c r="P62" s="6">
        <v>29</v>
      </c>
      <c r="Q62" s="6">
        <v>929</v>
      </c>
      <c r="R62" s="6">
        <v>24</v>
      </c>
      <c r="S62" s="5">
        <v>87.213099999999997</v>
      </c>
      <c r="T62" s="4" t="s">
        <v>36</v>
      </c>
      <c r="U62" s="1">
        <f>supply_chain_data_1[[#This Row],[Defect_rates2]]/100</f>
        <v>2.8530906166490538E-2</v>
      </c>
      <c r="V62">
        <v>2.8530906166490539</v>
      </c>
      <c r="W62" s="4" t="s">
        <v>37</v>
      </c>
      <c r="X62" s="4" t="s">
        <v>153</v>
      </c>
      <c r="Y62" s="5">
        <v>430.16910000000001</v>
      </c>
      <c r="Z62" s="5">
        <f t="shared" si="3"/>
        <v>9.2682926829268286</v>
      </c>
      <c r="AA62" s="5">
        <f t="shared" si="4"/>
        <v>521.7636</v>
      </c>
      <c r="AB62" s="1">
        <f>IFERROR(supply_chain_data_1[[#This Row],[Actual_Profit]] / F62, 0)</f>
        <v>0.94113733778456954</v>
      </c>
      <c r="AC62" s="5">
        <f>F62 - supply_chain_data_1[[#This Row],[Total_Costs]]</f>
        <v>8342.3207000000002</v>
      </c>
      <c r="AD62" s="5">
        <f t="shared" si="5"/>
        <v>10.841744343266404</v>
      </c>
      <c r="AE62" s="5">
        <v>8433.9151999999995</v>
      </c>
    </row>
    <row r="63" spans="1:31" x14ac:dyDescent="0.25">
      <c r="A63" s="4" t="s">
        <v>22</v>
      </c>
      <c r="B63" s="4" t="s">
        <v>102</v>
      </c>
      <c r="C63" s="5">
        <v>52.028700000000001</v>
      </c>
      <c r="D63" s="6">
        <v>23</v>
      </c>
      <c r="E63" s="6">
        <v>117</v>
      </c>
      <c r="F63" s="2">
        <v>6885.5893999999998</v>
      </c>
      <c r="G63" s="4" t="s">
        <v>32</v>
      </c>
      <c r="H63" s="6">
        <v>32</v>
      </c>
      <c r="I63" s="6">
        <v>23</v>
      </c>
      <c r="J63" s="6">
        <v>36</v>
      </c>
      <c r="K63" s="6">
        <v>7</v>
      </c>
      <c r="L63" s="4" t="s">
        <v>151</v>
      </c>
      <c r="M63" s="5">
        <v>9.0303000000000004</v>
      </c>
      <c r="N63" s="4" t="s">
        <v>154</v>
      </c>
      <c r="O63" s="4" t="s">
        <v>35</v>
      </c>
      <c r="P63" s="6">
        <v>14</v>
      </c>
      <c r="Q63" s="6">
        <v>480</v>
      </c>
      <c r="R63" s="6">
        <v>12</v>
      </c>
      <c r="S63" s="5">
        <v>78.702399999999997</v>
      </c>
      <c r="T63" s="4" t="s">
        <v>36</v>
      </c>
      <c r="U63" s="1">
        <f>supply_chain_data_1[[#This Row],[Defect_rates2]]/100</f>
        <v>4.3674705382050531E-2</v>
      </c>
      <c r="V63">
        <v>4.3674705382050529</v>
      </c>
      <c r="W63" s="4" t="s">
        <v>33</v>
      </c>
      <c r="X63" s="4" t="s">
        <v>153</v>
      </c>
      <c r="Y63" s="5">
        <v>164.3665</v>
      </c>
      <c r="Z63" s="5">
        <f t="shared" si="3"/>
        <v>3.65625</v>
      </c>
      <c r="AA63" s="5">
        <f t="shared" si="4"/>
        <v>252.0992</v>
      </c>
      <c r="AB63" s="1">
        <f>IFERROR(supply_chain_data_1[[#This Row],[Actual_Profit]] / F63, 0)</f>
        <v>0.96338741894775204</v>
      </c>
      <c r="AC63" s="5">
        <f>F63 - supply_chain_data_1[[#This Row],[Total_Costs]]</f>
        <v>6633.4902000000002</v>
      </c>
      <c r="AD63" s="5">
        <f t="shared" si="5"/>
        <v>5.1099405296999123</v>
      </c>
      <c r="AE63" s="5">
        <v>6721.2228999999998</v>
      </c>
    </row>
    <row r="64" spans="1:31" x14ac:dyDescent="0.25">
      <c r="A64" s="4" t="s">
        <v>45</v>
      </c>
      <c r="B64" s="4" t="s">
        <v>103</v>
      </c>
      <c r="C64" s="5">
        <v>72.796400000000006</v>
      </c>
      <c r="D64" s="6">
        <v>89</v>
      </c>
      <c r="E64" s="6">
        <v>270</v>
      </c>
      <c r="F64" s="2">
        <v>3899.7467999999999</v>
      </c>
      <c r="G64" s="4" t="s">
        <v>32</v>
      </c>
      <c r="H64" s="6">
        <v>86</v>
      </c>
      <c r="I64" s="6">
        <v>2</v>
      </c>
      <c r="J64" s="6">
        <v>40</v>
      </c>
      <c r="K64" s="6">
        <v>7</v>
      </c>
      <c r="L64" s="4" t="s">
        <v>151</v>
      </c>
      <c r="M64" s="5">
        <v>7.2916999999999996</v>
      </c>
      <c r="N64" s="4" t="s">
        <v>155</v>
      </c>
      <c r="O64" s="4" t="s">
        <v>25</v>
      </c>
      <c r="P64" s="6">
        <v>13</v>
      </c>
      <c r="Q64" s="6">
        <v>751</v>
      </c>
      <c r="R64" s="6">
        <v>14</v>
      </c>
      <c r="S64" s="5">
        <v>21.0486</v>
      </c>
      <c r="T64" s="4" t="s">
        <v>51</v>
      </c>
      <c r="U64" s="1">
        <f>supply_chain_data_1[[#This Row],[Defect_rates2]]/100</f>
        <v>1.8740014040443748E-2</v>
      </c>
      <c r="V64">
        <v>1.8740014040443749</v>
      </c>
      <c r="W64" s="4" t="s">
        <v>44</v>
      </c>
      <c r="X64" s="4" t="s">
        <v>150</v>
      </c>
      <c r="Y64" s="5">
        <v>320.84649999999999</v>
      </c>
      <c r="Z64" s="5">
        <f t="shared" si="3"/>
        <v>3.13953488372093</v>
      </c>
      <c r="AA64" s="5">
        <f t="shared" si="4"/>
        <v>349.18680000000001</v>
      </c>
      <c r="AB64" s="1">
        <f>IFERROR(supply_chain_data_1[[#This Row],[Actual_Profit]] / F64, 0)</f>
        <v>0.91045910980682132</v>
      </c>
      <c r="AC64" s="5">
        <f>F64 - supply_chain_data_1[[#This Row],[Total_Costs]]</f>
        <v>3550.56</v>
      </c>
      <c r="AD64" s="5">
        <f t="shared" si="5"/>
        <v>5.0598037909198119</v>
      </c>
      <c r="AE64" s="5">
        <v>3578.9002999999998</v>
      </c>
    </row>
    <row r="65" spans="1:31" x14ac:dyDescent="0.25">
      <c r="A65" s="4" t="s">
        <v>28</v>
      </c>
      <c r="B65" s="4" t="s">
        <v>104</v>
      </c>
      <c r="C65" s="5">
        <v>13.0174</v>
      </c>
      <c r="D65" s="6">
        <v>55</v>
      </c>
      <c r="E65" s="6">
        <v>246</v>
      </c>
      <c r="F65" s="2">
        <v>4256.9490999999998</v>
      </c>
      <c r="G65" s="4" t="s">
        <v>24</v>
      </c>
      <c r="H65" s="6">
        <v>54</v>
      </c>
      <c r="I65" s="6">
        <v>19</v>
      </c>
      <c r="J65" s="6">
        <v>10</v>
      </c>
      <c r="K65" s="6">
        <v>4</v>
      </c>
      <c r="L65" s="4" t="s">
        <v>148</v>
      </c>
      <c r="M65" s="5">
        <v>2.4579</v>
      </c>
      <c r="N65" s="4" t="s">
        <v>146</v>
      </c>
      <c r="O65" s="4" t="s">
        <v>41</v>
      </c>
      <c r="P65" s="6">
        <v>18</v>
      </c>
      <c r="Q65" s="6">
        <v>736</v>
      </c>
      <c r="R65" s="6">
        <v>10</v>
      </c>
      <c r="S65" s="5">
        <v>20.074999999999999</v>
      </c>
      <c r="T65" s="4" t="s">
        <v>26</v>
      </c>
      <c r="U65" s="1">
        <f>supply_chain_data_1[[#This Row],[Defect_rates2]]/100</f>
        <v>3.6328432903821338E-2</v>
      </c>
      <c r="V65">
        <v>3.6328432903821337</v>
      </c>
      <c r="W65" s="4" t="s">
        <v>44</v>
      </c>
      <c r="X65" s="4" t="s">
        <v>153</v>
      </c>
      <c r="Y65" s="5">
        <v>687.28620000000001</v>
      </c>
      <c r="Z65" s="5">
        <f t="shared" si="3"/>
        <v>4.5555555555555554</v>
      </c>
      <c r="AA65" s="5">
        <f t="shared" si="4"/>
        <v>709.81910000000005</v>
      </c>
      <c r="AB65" s="1">
        <f>IFERROR(supply_chain_data_1[[#This Row],[Actual_Profit]] / F65, 0)</f>
        <v>0.83325638072581132</v>
      </c>
      <c r="AC65" s="5">
        <f>F65 - supply_chain_data_1[[#This Row],[Total_Costs]]</f>
        <v>3547.1299999999997</v>
      </c>
      <c r="AD65" s="5">
        <f t="shared" si="5"/>
        <v>8.9367944943400488</v>
      </c>
      <c r="AE65" s="5">
        <v>3569.6628999999998</v>
      </c>
    </row>
    <row r="66" spans="1:31" x14ac:dyDescent="0.25">
      <c r="A66" s="4" t="s">
        <v>28</v>
      </c>
      <c r="B66" s="4" t="s">
        <v>105</v>
      </c>
      <c r="C66" s="5">
        <v>89.634100000000004</v>
      </c>
      <c r="D66" s="6">
        <v>11</v>
      </c>
      <c r="E66" s="6">
        <v>134</v>
      </c>
      <c r="F66" s="2">
        <v>8458.7309000000005</v>
      </c>
      <c r="G66" s="4" t="s">
        <v>30</v>
      </c>
      <c r="H66" s="6">
        <v>73</v>
      </c>
      <c r="I66" s="6">
        <v>27</v>
      </c>
      <c r="J66" s="6">
        <v>75</v>
      </c>
      <c r="K66" s="6">
        <v>6</v>
      </c>
      <c r="L66" s="4" t="s">
        <v>151</v>
      </c>
      <c r="M66" s="5">
        <v>4.5853999999999999</v>
      </c>
      <c r="N66" s="4" t="s">
        <v>149</v>
      </c>
      <c r="O66" s="4" t="s">
        <v>39</v>
      </c>
      <c r="P66" s="6">
        <v>17</v>
      </c>
      <c r="Q66" s="6">
        <v>328</v>
      </c>
      <c r="R66" s="6">
        <v>6</v>
      </c>
      <c r="S66" s="5">
        <v>8.6929999999999996</v>
      </c>
      <c r="T66" s="4" t="s">
        <v>36</v>
      </c>
      <c r="U66" s="1">
        <f>supply_chain_data_1[[#This Row],[Defect_rates2]]/100</f>
        <v>1.5948631471751462E-3</v>
      </c>
      <c r="V66">
        <v>0.15948631471751462</v>
      </c>
      <c r="W66" s="4" t="s">
        <v>33</v>
      </c>
      <c r="X66" s="4" t="s">
        <v>150</v>
      </c>
      <c r="Y66" s="5">
        <v>771.2251</v>
      </c>
      <c r="Z66" s="5">
        <f t="shared" ref="Z66:Z101" si="6">IFERROR(E66/H66, 0)</f>
        <v>1.8356164383561644</v>
      </c>
      <c r="AA66" s="5">
        <f t="shared" ref="AA66:AA101" si="7">M66 + S66 + Y66</f>
        <v>784.50350000000003</v>
      </c>
      <c r="AB66" s="1">
        <f>IFERROR(supply_chain_data_1[[#This Row],[Actual_Profit]] / F66, 0)</f>
        <v>0.90725517701479308</v>
      </c>
      <c r="AC66" s="5">
        <f>F66 - supply_chain_data_1[[#This Row],[Total_Costs]]</f>
        <v>7674.2274000000007</v>
      </c>
      <c r="AD66" s="5">
        <f t="shared" ref="AD66:AD101" si="8">E66 * U66</f>
        <v>0.21371166172146958</v>
      </c>
      <c r="AE66" s="5">
        <v>7687.5057999999999</v>
      </c>
    </row>
    <row r="67" spans="1:31" x14ac:dyDescent="0.25">
      <c r="A67" s="4" t="s">
        <v>28</v>
      </c>
      <c r="B67" s="4" t="s">
        <v>106</v>
      </c>
      <c r="C67" s="5">
        <v>33.697699999999998</v>
      </c>
      <c r="D67" s="6">
        <v>72</v>
      </c>
      <c r="E67" s="6">
        <v>457</v>
      </c>
      <c r="F67" s="2">
        <v>8354.5797000000002</v>
      </c>
      <c r="G67" s="4" t="s">
        <v>43</v>
      </c>
      <c r="H67" s="6">
        <v>57</v>
      </c>
      <c r="I67" s="6">
        <v>24</v>
      </c>
      <c r="J67" s="6">
        <v>54</v>
      </c>
      <c r="K67" s="6">
        <v>8</v>
      </c>
      <c r="L67" s="4" t="s">
        <v>151</v>
      </c>
      <c r="M67" s="5">
        <v>6.5804999999999998</v>
      </c>
      <c r="N67" s="4" t="s">
        <v>152</v>
      </c>
      <c r="O67" s="4" t="s">
        <v>35</v>
      </c>
      <c r="P67" s="6">
        <v>16</v>
      </c>
      <c r="Q67" s="6">
        <v>358</v>
      </c>
      <c r="R67" s="6">
        <v>21</v>
      </c>
      <c r="S67" s="5">
        <v>1.5972</v>
      </c>
      <c r="T67" s="4" t="s">
        <v>36</v>
      </c>
      <c r="U67" s="1">
        <f>supply_chain_data_1[[#This Row],[Defect_rates2]]/100</f>
        <v>4.9110959548423309E-2</v>
      </c>
      <c r="V67">
        <v>4.911095954842331</v>
      </c>
      <c r="W67" s="4" t="s">
        <v>37</v>
      </c>
      <c r="X67" s="4" t="s">
        <v>150</v>
      </c>
      <c r="Y67" s="5">
        <v>555.85910000000001</v>
      </c>
      <c r="Z67" s="5">
        <f t="shared" si="6"/>
        <v>8.0175438596491233</v>
      </c>
      <c r="AA67" s="5">
        <f t="shared" si="7"/>
        <v>564.03679999999997</v>
      </c>
      <c r="AB67" s="1">
        <f>IFERROR(supply_chain_data_1[[#This Row],[Actual_Profit]] / F67, 0)</f>
        <v>0.93248771090184224</v>
      </c>
      <c r="AC67" s="5">
        <f>F67 - supply_chain_data_1[[#This Row],[Total_Costs]]</f>
        <v>7790.5429000000004</v>
      </c>
      <c r="AD67" s="5">
        <f t="shared" si="8"/>
        <v>22.443708513629453</v>
      </c>
      <c r="AE67" s="5">
        <v>7798.7205999999996</v>
      </c>
    </row>
    <row r="68" spans="1:31" x14ac:dyDescent="0.25">
      <c r="A68" s="4" t="s">
        <v>28</v>
      </c>
      <c r="B68" s="4" t="s">
        <v>107</v>
      </c>
      <c r="C68" s="5">
        <v>26.0349</v>
      </c>
      <c r="D68" s="6">
        <v>52</v>
      </c>
      <c r="E68" s="6">
        <v>704</v>
      </c>
      <c r="F68" s="2">
        <v>8367.7216000000008</v>
      </c>
      <c r="G68" s="4" t="s">
        <v>30</v>
      </c>
      <c r="H68" s="6">
        <v>13</v>
      </c>
      <c r="I68" s="6">
        <v>17</v>
      </c>
      <c r="J68" s="6">
        <v>19</v>
      </c>
      <c r="K68" s="6">
        <v>8</v>
      </c>
      <c r="L68" s="4" t="s">
        <v>148</v>
      </c>
      <c r="M68" s="5">
        <v>2.2161</v>
      </c>
      <c r="N68" s="4" t="s">
        <v>152</v>
      </c>
      <c r="O68" s="4" t="s">
        <v>35</v>
      </c>
      <c r="P68" s="6">
        <v>24</v>
      </c>
      <c r="Q68" s="6">
        <v>867</v>
      </c>
      <c r="R68" s="6">
        <v>28</v>
      </c>
      <c r="S68" s="5">
        <v>42.084400000000002</v>
      </c>
      <c r="T68" s="4" t="s">
        <v>36</v>
      </c>
      <c r="U68" s="1">
        <f>supply_chain_data_1[[#This Row],[Defect_rates2]]/100</f>
        <v>3.4480632883402619E-2</v>
      </c>
      <c r="V68">
        <v>3.4480632883402618</v>
      </c>
      <c r="W68" s="4" t="s">
        <v>27</v>
      </c>
      <c r="X68" s="4" t="s">
        <v>153</v>
      </c>
      <c r="Y68" s="5">
        <v>393.8433</v>
      </c>
      <c r="Z68" s="5">
        <f t="shared" si="6"/>
        <v>54.153846153846153</v>
      </c>
      <c r="AA68" s="5">
        <f t="shared" si="7"/>
        <v>438.1438</v>
      </c>
      <c r="AB68" s="1">
        <f>IFERROR(supply_chain_data_1[[#This Row],[Actual_Profit]] / F68, 0)</f>
        <v>0.94763881723789667</v>
      </c>
      <c r="AC68" s="5">
        <f>F68 - supply_chain_data_1[[#This Row],[Total_Costs]]</f>
        <v>7929.5778000000009</v>
      </c>
      <c r="AD68" s="5">
        <f t="shared" si="8"/>
        <v>24.274365549915444</v>
      </c>
      <c r="AE68" s="5">
        <v>7973.8783000000003</v>
      </c>
    </row>
    <row r="69" spans="1:31" x14ac:dyDescent="0.25">
      <c r="A69" s="4" t="s">
        <v>28</v>
      </c>
      <c r="B69" s="4" t="s">
        <v>108</v>
      </c>
      <c r="C69" s="5">
        <v>87.755399999999995</v>
      </c>
      <c r="D69" s="6">
        <v>16</v>
      </c>
      <c r="E69" s="6">
        <v>513</v>
      </c>
      <c r="F69" s="2">
        <v>9473.7980000000007</v>
      </c>
      <c r="G69" s="4" t="s">
        <v>32</v>
      </c>
      <c r="H69" s="6">
        <v>12</v>
      </c>
      <c r="I69" s="6">
        <v>9</v>
      </c>
      <c r="J69" s="6">
        <v>71</v>
      </c>
      <c r="K69" s="6">
        <v>9</v>
      </c>
      <c r="L69" s="4" t="s">
        <v>151</v>
      </c>
      <c r="M69" s="5">
        <v>9.1478000000000002</v>
      </c>
      <c r="N69" s="4" t="s">
        <v>149</v>
      </c>
      <c r="O69" s="4" t="s">
        <v>25</v>
      </c>
      <c r="P69" s="6">
        <v>10</v>
      </c>
      <c r="Q69" s="6">
        <v>198</v>
      </c>
      <c r="R69" s="6">
        <v>11</v>
      </c>
      <c r="S69" s="5">
        <v>7.0579000000000001</v>
      </c>
      <c r="T69" s="4" t="s">
        <v>51</v>
      </c>
      <c r="U69" s="1">
        <f>supply_chain_data_1[[#This Row],[Defect_rates2]]/100</f>
        <v>1.3195544431181482E-3</v>
      </c>
      <c r="V69">
        <v>0.13195544431181483</v>
      </c>
      <c r="W69" s="4" t="s">
        <v>44</v>
      </c>
      <c r="X69" s="4" t="s">
        <v>150</v>
      </c>
      <c r="Y69" s="5">
        <v>169.27180000000001</v>
      </c>
      <c r="Z69" s="5">
        <f t="shared" si="6"/>
        <v>42.75</v>
      </c>
      <c r="AA69" s="5">
        <f t="shared" si="7"/>
        <v>185.47750000000002</v>
      </c>
      <c r="AB69" s="1">
        <f>IFERROR(supply_chain_data_1[[#This Row],[Actual_Profit]] / F69, 0)</f>
        <v>0.9804220545973219</v>
      </c>
      <c r="AC69" s="5">
        <f>F69 - supply_chain_data_1[[#This Row],[Total_Costs]]</f>
        <v>9288.3204999999998</v>
      </c>
      <c r="AD69" s="5">
        <f t="shared" si="8"/>
        <v>0.67693142931961003</v>
      </c>
      <c r="AE69" s="5">
        <v>9304.5262000000002</v>
      </c>
    </row>
    <row r="70" spans="1:31" x14ac:dyDescent="0.25">
      <c r="A70" s="4" t="s">
        <v>22</v>
      </c>
      <c r="B70" s="4" t="s">
        <v>109</v>
      </c>
      <c r="C70" s="5">
        <v>37.931800000000003</v>
      </c>
      <c r="D70" s="6">
        <v>29</v>
      </c>
      <c r="E70" s="6">
        <v>163</v>
      </c>
      <c r="F70" s="2">
        <v>3550.2184000000002</v>
      </c>
      <c r="G70" s="4" t="s">
        <v>24</v>
      </c>
      <c r="H70" s="6">
        <v>0</v>
      </c>
      <c r="I70" s="6">
        <v>8</v>
      </c>
      <c r="J70" s="6">
        <v>58</v>
      </c>
      <c r="K70" s="6">
        <v>8</v>
      </c>
      <c r="L70" s="4" t="s">
        <v>145</v>
      </c>
      <c r="M70" s="5">
        <v>1.1942999999999999</v>
      </c>
      <c r="N70" s="4" t="s">
        <v>155</v>
      </c>
      <c r="O70" s="4" t="s">
        <v>41</v>
      </c>
      <c r="P70" s="6">
        <v>2</v>
      </c>
      <c r="Q70" s="6">
        <v>375</v>
      </c>
      <c r="R70" s="6">
        <v>18</v>
      </c>
      <c r="S70" s="5">
        <v>97.113600000000005</v>
      </c>
      <c r="T70" s="4" t="s">
        <v>36</v>
      </c>
      <c r="U70" s="1">
        <f>supply_chain_data_1[[#This Row],[Defect_rates2]]/100</f>
        <v>1.98346787217418E-2</v>
      </c>
      <c r="V70">
        <v>1.9834678721741801</v>
      </c>
      <c r="W70" s="4" t="s">
        <v>37</v>
      </c>
      <c r="X70" s="4" t="s">
        <v>153</v>
      </c>
      <c r="Y70" s="5">
        <v>299.7063</v>
      </c>
      <c r="Z70" s="5">
        <f>IFERROR(E70/H70, 0)</f>
        <v>0</v>
      </c>
      <c r="AA70" s="5">
        <f t="shared" si="7"/>
        <v>398.01420000000002</v>
      </c>
      <c r="AB70" s="1">
        <f>IFERROR(supply_chain_data_1[[#This Row],[Actual_Profit]] / F70, 0)</f>
        <v>0.88789022106358295</v>
      </c>
      <c r="AC70" s="5">
        <f>F70 - supply_chain_data_1[[#This Row],[Total_Costs]]</f>
        <v>3152.2042000000001</v>
      </c>
      <c r="AD70" s="5">
        <f t="shared" si="8"/>
        <v>3.2330526316439134</v>
      </c>
      <c r="AE70" s="5">
        <v>3250.5120999999999</v>
      </c>
    </row>
    <row r="71" spans="1:31" x14ac:dyDescent="0.25">
      <c r="A71" s="4" t="s">
        <v>28</v>
      </c>
      <c r="B71" s="4" t="s">
        <v>110</v>
      </c>
      <c r="C71" s="5">
        <v>54.865499999999997</v>
      </c>
      <c r="D71" s="6">
        <v>62</v>
      </c>
      <c r="E71" s="6">
        <v>511</v>
      </c>
      <c r="F71" s="2">
        <v>1752.3811000000001</v>
      </c>
      <c r="G71" s="4" t="s">
        <v>24</v>
      </c>
      <c r="H71" s="6">
        <v>95</v>
      </c>
      <c r="I71" s="6">
        <v>1</v>
      </c>
      <c r="J71" s="6">
        <v>27</v>
      </c>
      <c r="K71" s="6">
        <v>3</v>
      </c>
      <c r="L71" s="4" t="s">
        <v>145</v>
      </c>
      <c r="M71" s="5">
        <v>9.7052999999999994</v>
      </c>
      <c r="N71" s="4" t="s">
        <v>154</v>
      </c>
      <c r="O71" s="4" t="s">
        <v>35</v>
      </c>
      <c r="P71" s="6">
        <v>9</v>
      </c>
      <c r="Q71" s="6">
        <v>862</v>
      </c>
      <c r="R71" s="6">
        <v>7</v>
      </c>
      <c r="S71" s="5">
        <v>77.627799999999993</v>
      </c>
      <c r="T71" s="4" t="s">
        <v>26</v>
      </c>
      <c r="U71" s="1">
        <f>supply_chain_data_1[[#This Row],[Defect_rates2]]/100</f>
        <v>1.3623879886491086E-2</v>
      </c>
      <c r="V71">
        <v>1.3623879886491086</v>
      </c>
      <c r="W71" s="4" t="s">
        <v>33</v>
      </c>
      <c r="X71" s="4" t="s">
        <v>153</v>
      </c>
      <c r="Y71" s="5">
        <v>207.66319999999999</v>
      </c>
      <c r="Z71" s="5">
        <f t="shared" si="6"/>
        <v>5.3789473684210529</v>
      </c>
      <c r="AA71" s="5">
        <f t="shared" si="7"/>
        <v>294.99629999999996</v>
      </c>
      <c r="AB71" s="1">
        <f>IFERROR(supply_chain_data_1[[#This Row],[Actual_Profit]] / F71, 0)</f>
        <v>0.83165973428953321</v>
      </c>
      <c r="AC71" s="5">
        <f>F71 - supply_chain_data_1[[#This Row],[Total_Costs]]</f>
        <v>1457.3848</v>
      </c>
      <c r="AD71" s="5">
        <f t="shared" si="8"/>
        <v>6.9618026219969451</v>
      </c>
      <c r="AE71" s="5">
        <v>1544.7179000000001</v>
      </c>
    </row>
    <row r="72" spans="1:31" x14ac:dyDescent="0.25">
      <c r="A72" s="4" t="s">
        <v>22</v>
      </c>
      <c r="B72" s="4" t="s">
        <v>111</v>
      </c>
      <c r="C72" s="5">
        <v>47.914499999999997</v>
      </c>
      <c r="D72" s="6">
        <v>90</v>
      </c>
      <c r="E72" s="6">
        <v>32</v>
      </c>
      <c r="F72" s="2">
        <v>7014.8879999999999</v>
      </c>
      <c r="G72" s="4" t="s">
        <v>30</v>
      </c>
      <c r="H72" s="6">
        <v>10</v>
      </c>
      <c r="I72" s="6">
        <v>12</v>
      </c>
      <c r="J72" s="6">
        <v>22</v>
      </c>
      <c r="K72" s="6">
        <v>4</v>
      </c>
      <c r="L72" s="4" t="s">
        <v>145</v>
      </c>
      <c r="M72" s="5">
        <v>6.3156999999999996</v>
      </c>
      <c r="N72" s="4" t="s">
        <v>149</v>
      </c>
      <c r="O72" s="4" t="s">
        <v>41</v>
      </c>
      <c r="P72" s="6">
        <v>22</v>
      </c>
      <c r="Q72" s="6">
        <v>775</v>
      </c>
      <c r="R72" s="6">
        <v>16</v>
      </c>
      <c r="S72" s="5">
        <v>11.440799999999999</v>
      </c>
      <c r="T72" s="4" t="s">
        <v>51</v>
      </c>
      <c r="U72" s="1">
        <f>supply_chain_data_1[[#This Row],[Defect_rates2]]/100</f>
        <v>1.8305755986122312E-2</v>
      </c>
      <c r="V72">
        <v>1.8305755986122312</v>
      </c>
      <c r="W72" s="4" t="s">
        <v>27</v>
      </c>
      <c r="X72" s="4" t="s">
        <v>150</v>
      </c>
      <c r="Y72" s="5">
        <v>183.27289999999999</v>
      </c>
      <c r="Z72" s="5">
        <f t="shared" si="6"/>
        <v>3.2</v>
      </c>
      <c r="AA72" s="5">
        <f t="shared" si="7"/>
        <v>201.02939999999998</v>
      </c>
      <c r="AB72" s="1">
        <f>IFERROR(supply_chain_data_1[[#This Row],[Actual_Profit]] / F72, 0)</f>
        <v>0.97134246476921648</v>
      </c>
      <c r="AC72" s="5">
        <f>F72 - supply_chain_data_1[[#This Row],[Total_Costs]]</f>
        <v>6813.8585999999996</v>
      </c>
      <c r="AD72" s="5">
        <f t="shared" si="8"/>
        <v>0.58578419155591399</v>
      </c>
      <c r="AE72" s="5">
        <v>6831.6151</v>
      </c>
    </row>
    <row r="73" spans="1:31" x14ac:dyDescent="0.25">
      <c r="A73" s="4" t="s">
        <v>45</v>
      </c>
      <c r="B73" s="4" t="s">
        <v>112</v>
      </c>
      <c r="C73" s="5">
        <v>6.3815</v>
      </c>
      <c r="D73" s="6">
        <v>14</v>
      </c>
      <c r="E73" s="6">
        <v>637</v>
      </c>
      <c r="F73" s="2">
        <v>8180.3370999999997</v>
      </c>
      <c r="G73" s="4" t="s">
        <v>30</v>
      </c>
      <c r="H73" s="6">
        <v>76</v>
      </c>
      <c r="I73" s="6">
        <v>2</v>
      </c>
      <c r="J73" s="6">
        <v>26</v>
      </c>
      <c r="K73" s="6">
        <v>6</v>
      </c>
      <c r="L73" s="4" t="s">
        <v>148</v>
      </c>
      <c r="M73" s="5">
        <v>9.2281999999999993</v>
      </c>
      <c r="N73" s="4" t="s">
        <v>155</v>
      </c>
      <c r="O73" s="4" t="s">
        <v>41</v>
      </c>
      <c r="P73" s="6">
        <v>2</v>
      </c>
      <c r="Q73" s="6">
        <v>258</v>
      </c>
      <c r="R73" s="6">
        <v>10</v>
      </c>
      <c r="S73" s="5">
        <v>30.6617</v>
      </c>
      <c r="T73" s="4" t="s">
        <v>26</v>
      </c>
      <c r="U73" s="1">
        <f>supply_chain_data_1[[#This Row],[Defect_rates2]]/100</f>
        <v>2.0787506078749688E-2</v>
      </c>
      <c r="V73">
        <v>2.0787506078749689</v>
      </c>
      <c r="W73" s="4" t="s">
        <v>27</v>
      </c>
      <c r="X73" s="4" t="s">
        <v>153</v>
      </c>
      <c r="Y73" s="5">
        <v>405.1671</v>
      </c>
      <c r="Z73" s="5">
        <f t="shared" si="6"/>
        <v>8.3815789473684212</v>
      </c>
      <c r="AA73" s="5">
        <f t="shared" si="7"/>
        <v>445.05700000000002</v>
      </c>
      <c r="AB73" s="1">
        <f>IFERROR(supply_chain_data_1[[#This Row],[Actual_Profit]] / F73, 0)</f>
        <v>0.94559429586343091</v>
      </c>
      <c r="AC73" s="5">
        <f>F73 - supply_chain_data_1[[#This Row],[Total_Costs]]</f>
        <v>7735.2800999999999</v>
      </c>
      <c r="AD73" s="5">
        <f t="shared" si="8"/>
        <v>13.241641372163551</v>
      </c>
      <c r="AE73" s="5">
        <v>7775.17</v>
      </c>
    </row>
    <row r="74" spans="1:31" x14ac:dyDescent="0.25">
      <c r="A74" s="4" t="s">
        <v>45</v>
      </c>
      <c r="B74" s="4" t="s">
        <v>113</v>
      </c>
      <c r="C74" s="5">
        <v>90.204400000000007</v>
      </c>
      <c r="D74" s="6">
        <v>88</v>
      </c>
      <c r="E74" s="6">
        <v>478</v>
      </c>
      <c r="F74" s="2">
        <v>2633.1219999999998</v>
      </c>
      <c r="G74" s="4" t="s">
        <v>24</v>
      </c>
      <c r="H74" s="6">
        <v>57</v>
      </c>
      <c r="I74" s="6">
        <v>29</v>
      </c>
      <c r="J74" s="6">
        <v>77</v>
      </c>
      <c r="K74" s="6">
        <v>9</v>
      </c>
      <c r="L74" s="4" t="s">
        <v>148</v>
      </c>
      <c r="M74" s="5">
        <v>6.5995999999999997</v>
      </c>
      <c r="N74" s="4" t="s">
        <v>149</v>
      </c>
      <c r="O74" s="4" t="s">
        <v>41</v>
      </c>
      <c r="P74" s="6">
        <v>21</v>
      </c>
      <c r="Q74" s="6">
        <v>152</v>
      </c>
      <c r="R74" s="6">
        <v>11</v>
      </c>
      <c r="S74" s="5">
        <v>55.7605</v>
      </c>
      <c r="T74" s="4" t="s">
        <v>26</v>
      </c>
      <c r="U74" s="1">
        <f>supply_chain_data_1[[#This Row],[Defect_rates2]]/100</f>
        <v>3.2133296074383089E-2</v>
      </c>
      <c r="V74">
        <v>3.2133296074383089</v>
      </c>
      <c r="W74" s="4" t="s">
        <v>37</v>
      </c>
      <c r="X74" s="4" t="s">
        <v>147</v>
      </c>
      <c r="Y74" s="5">
        <v>677.94460000000004</v>
      </c>
      <c r="Z74" s="5">
        <f t="shared" si="6"/>
        <v>8.3859649122807021</v>
      </c>
      <c r="AA74" s="5">
        <f t="shared" si="7"/>
        <v>740.30470000000003</v>
      </c>
      <c r="AB74" s="1">
        <f>IFERROR(supply_chain_data_1[[#This Row],[Actual_Profit]] / F74, 0)</f>
        <v>0.71884906965951434</v>
      </c>
      <c r="AC74" s="5">
        <f>F74 - supply_chain_data_1[[#This Row],[Total_Costs]]</f>
        <v>1892.8172999999997</v>
      </c>
      <c r="AD74" s="5">
        <f t="shared" si="8"/>
        <v>15.359715523555117</v>
      </c>
      <c r="AE74" s="5">
        <v>1955.1774</v>
      </c>
    </row>
    <row r="75" spans="1:31" x14ac:dyDescent="0.25">
      <c r="A75" s="4" t="s">
        <v>45</v>
      </c>
      <c r="B75" s="4" t="s">
        <v>114</v>
      </c>
      <c r="C75" s="5">
        <v>83.850999999999999</v>
      </c>
      <c r="D75" s="6">
        <v>41</v>
      </c>
      <c r="E75" s="6">
        <v>375</v>
      </c>
      <c r="F75" s="2">
        <v>7910.8869000000004</v>
      </c>
      <c r="G75" s="4" t="s">
        <v>43</v>
      </c>
      <c r="H75" s="6">
        <v>17</v>
      </c>
      <c r="I75" s="6">
        <v>25</v>
      </c>
      <c r="J75" s="6">
        <v>66</v>
      </c>
      <c r="K75" s="6">
        <v>5</v>
      </c>
      <c r="L75" s="4" t="s">
        <v>145</v>
      </c>
      <c r="M75" s="5">
        <v>1.5128999999999999</v>
      </c>
      <c r="N75" s="4" t="s">
        <v>154</v>
      </c>
      <c r="O75" s="4" t="s">
        <v>49</v>
      </c>
      <c r="P75" s="6">
        <v>13</v>
      </c>
      <c r="Q75" s="6">
        <v>444</v>
      </c>
      <c r="R75" s="6">
        <v>4</v>
      </c>
      <c r="S75" s="5">
        <v>46.870199999999997</v>
      </c>
      <c r="T75" s="4" t="s">
        <v>36</v>
      </c>
      <c r="U75" s="1">
        <f>supply_chain_data_1[[#This Row],[Defect_rates2]]/100</f>
        <v>4.6205460645137066E-2</v>
      </c>
      <c r="V75">
        <v>4.6205460645137064</v>
      </c>
      <c r="W75" s="4" t="s">
        <v>27</v>
      </c>
      <c r="X75" s="4" t="s">
        <v>153</v>
      </c>
      <c r="Y75" s="5">
        <v>866.47280000000001</v>
      </c>
      <c r="Z75" s="5">
        <f t="shared" si="6"/>
        <v>22.058823529411764</v>
      </c>
      <c r="AA75" s="5">
        <f t="shared" si="7"/>
        <v>914.85590000000002</v>
      </c>
      <c r="AB75" s="1">
        <f>IFERROR(supply_chain_data_1[[#This Row],[Actual_Profit]] / F75, 0)</f>
        <v>0.8843548249944011</v>
      </c>
      <c r="AC75" s="5">
        <f>F75 - supply_chain_data_1[[#This Row],[Total_Costs]]</f>
        <v>6996.0310000000009</v>
      </c>
      <c r="AD75" s="5">
        <f t="shared" si="8"/>
        <v>17.3270477419264</v>
      </c>
      <c r="AE75" s="5">
        <v>7044.4141</v>
      </c>
    </row>
    <row r="76" spans="1:31" x14ac:dyDescent="0.25">
      <c r="A76" s="4" t="s">
        <v>22</v>
      </c>
      <c r="B76" s="4" t="s">
        <v>115</v>
      </c>
      <c r="C76" s="5">
        <v>3.17</v>
      </c>
      <c r="D76" s="6">
        <v>64</v>
      </c>
      <c r="E76" s="6">
        <v>904</v>
      </c>
      <c r="F76" s="2">
        <v>5709.9453000000003</v>
      </c>
      <c r="G76" s="4" t="s">
        <v>30</v>
      </c>
      <c r="H76" s="6">
        <v>41</v>
      </c>
      <c r="I76" s="6">
        <v>6</v>
      </c>
      <c r="J76" s="6">
        <v>1</v>
      </c>
      <c r="K76" s="6">
        <v>5</v>
      </c>
      <c r="L76" s="4" t="s">
        <v>148</v>
      </c>
      <c r="M76" s="5">
        <v>5.2377000000000002</v>
      </c>
      <c r="N76" s="4" t="s">
        <v>154</v>
      </c>
      <c r="O76" s="4" t="s">
        <v>39</v>
      </c>
      <c r="P76" s="6">
        <v>1</v>
      </c>
      <c r="Q76" s="6">
        <v>919</v>
      </c>
      <c r="R76" s="6">
        <v>9</v>
      </c>
      <c r="S76" s="5">
        <v>80.5809</v>
      </c>
      <c r="T76" s="4" t="s">
        <v>36</v>
      </c>
      <c r="U76" s="1">
        <f>supply_chain_data_1[[#This Row],[Defect_rates2]]/100</f>
        <v>3.9661272410993539E-3</v>
      </c>
      <c r="V76">
        <v>0.39661272410993542</v>
      </c>
      <c r="W76" s="4" t="s">
        <v>37</v>
      </c>
      <c r="X76" s="4" t="s">
        <v>153</v>
      </c>
      <c r="Y76" s="5">
        <v>341.55270000000002</v>
      </c>
      <c r="Z76" s="5">
        <f t="shared" si="6"/>
        <v>22.048780487804876</v>
      </c>
      <c r="AA76" s="5">
        <f t="shared" si="7"/>
        <v>427.37130000000002</v>
      </c>
      <c r="AB76" s="1">
        <f>IFERROR(supply_chain_data_1[[#This Row],[Actual_Profit]] / F76, 0)</f>
        <v>0.92515317090690874</v>
      </c>
      <c r="AC76" s="5">
        <f>F76 - supply_chain_data_1[[#This Row],[Total_Costs]]</f>
        <v>5282.5740000000005</v>
      </c>
      <c r="AD76" s="5">
        <f t="shared" si="8"/>
        <v>3.5853790259538161</v>
      </c>
      <c r="AE76" s="5">
        <v>5368.3926000000001</v>
      </c>
    </row>
    <row r="77" spans="1:31" x14ac:dyDescent="0.25">
      <c r="A77" s="4" t="s">
        <v>28</v>
      </c>
      <c r="B77" s="4" t="s">
        <v>116</v>
      </c>
      <c r="C77" s="5">
        <v>92.996899999999997</v>
      </c>
      <c r="D77" s="6">
        <v>29</v>
      </c>
      <c r="E77" s="6">
        <v>106</v>
      </c>
      <c r="F77" s="2">
        <v>1889.0735999999999</v>
      </c>
      <c r="G77" s="4" t="s">
        <v>24</v>
      </c>
      <c r="H77" s="6">
        <v>16</v>
      </c>
      <c r="I77" s="6">
        <v>20</v>
      </c>
      <c r="J77" s="6">
        <v>56</v>
      </c>
      <c r="K77" s="6">
        <v>10</v>
      </c>
      <c r="L77" s="4" t="s">
        <v>151</v>
      </c>
      <c r="M77" s="5">
        <v>2.4739</v>
      </c>
      <c r="N77" s="4" t="s">
        <v>149</v>
      </c>
      <c r="O77" s="4" t="s">
        <v>49</v>
      </c>
      <c r="P77" s="6">
        <v>25</v>
      </c>
      <c r="Q77" s="6">
        <v>759</v>
      </c>
      <c r="R77" s="6">
        <v>11</v>
      </c>
      <c r="S77" s="5">
        <v>48.064799999999998</v>
      </c>
      <c r="T77" s="4" t="s">
        <v>51</v>
      </c>
      <c r="U77" s="1">
        <f>supply_chain_data_1[[#This Row],[Defect_rates2]]/100</f>
        <v>2.0300690886687515E-2</v>
      </c>
      <c r="V77">
        <v>2.0300690886687516</v>
      </c>
      <c r="W77" s="4" t="s">
        <v>33</v>
      </c>
      <c r="X77" s="4" t="s">
        <v>150</v>
      </c>
      <c r="Y77" s="5">
        <v>873.12959999999998</v>
      </c>
      <c r="Z77" s="5">
        <f t="shared" si="6"/>
        <v>6.625</v>
      </c>
      <c r="AA77" s="5">
        <f t="shared" si="7"/>
        <v>923.66829999999993</v>
      </c>
      <c r="AB77" s="1">
        <f>IFERROR(supply_chain_data_1[[#This Row],[Actual_Profit]] / F77, 0)</f>
        <v>0.51104694915010196</v>
      </c>
      <c r="AC77" s="5">
        <f>F77 - supply_chain_data_1[[#This Row],[Total_Costs]]</f>
        <v>965.40530000000001</v>
      </c>
      <c r="AD77" s="5">
        <f t="shared" si="8"/>
        <v>2.1518732339888764</v>
      </c>
      <c r="AE77" s="5">
        <v>1015.944</v>
      </c>
    </row>
    <row r="78" spans="1:31" x14ac:dyDescent="0.25">
      <c r="A78" s="4" t="s">
        <v>22</v>
      </c>
      <c r="B78" s="4" t="s">
        <v>117</v>
      </c>
      <c r="C78" s="5">
        <v>69.108800000000002</v>
      </c>
      <c r="D78" s="6">
        <v>23</v>
      </c>
      <c r="E78" s="6">
        <v>241</v>
      </c>
      <c r="F78" s="2">
        <v>5328.3760000000002</v>
      </c>
      <c r="G78" s="4" t="s">
        <v>43</v>
      </c>
      <c r="H78" s="6">
        <v>38</v>
      </c>
      <c r="I78" s="6">
        <v>1</v>
      </c>
      <c r="J78" s="6">
        <v>22</v>
      </c>
      <c r="K78" s="6">
        <v>10</v>
      </c>
      <c r="L78" s="4" t="s">
        <v>148</v>
      </c>
      <c r="M78" s="5">
        <v>7.0545</v>
      </c>
      <c r="N78" s="4" t="s">
        <v>155</v>
      </c>
      <c r="O78" s="4" t="s">
        <v>41</v>
      </c>
      <c r="P78" s="6">
        <v>25</v>
      </c>
      <c r="Q78" s="6">
        <v>985</v>
      </c>
      <c r="R78" s="6">
        <v>24</v>
      </c>
      <c r="S78" s="5">
        <v>64.323599999999999</v>
      </c>
      <c r="T78" s="4" t="s">
        <v>26</v>
      </c>
      <c r="U78" s="1">
        <f>supply_chain_data_1[[#This Row],[Defect_rates2]]/100</f>
        <v>2.1800374515822164E-2</v>
      </c>
      <c r="V78">
        <v>2.1800374515822165</v>
      </c>
      <c r="W78" s="4" t="s">
        <v>37</v>
      </c>
      <c r="X78" s="4" t="s">
        <v>153</v>
      </c>
      <c r="Y78" s="5">
        <v>997.4135</v>
      </c>
      <c r="Z78" s="5">
        <f t="shared" si="6"/>
        <v>6.3421052631578947</v>
      </c>
      <c r="AA78" s="5">
        <f t="shared" si="7"/>
        <v>1068.7916</v>
      </c>
      <c r="AB78" s="1">
        <f>IFERROR(supply_chain_data_1[[#This Row],[Actual_Profit]] / F78, 0)</f>
        <v>0.79941513136460329</v>
      </c>
      <c r="AC78" s="5">
        <f>F78 - supply_chain_data_1[[#This Row],[Total_Costs]]</f>
        <v>4259.5843999999997</v>
      </c>
      <c r="AD78" s="5">
        <f t="shared" si="8"/>
        <v>5.2538902583131417</v>
      </c>
      <c r="AE78" s="5">
        <v>4330.9624999999996</v>
      </c>
    </row>
    <row r="79" spans="1:31" x14ac:dyDescent="0.25">
      <c r="A79" s="4" t="s">
        <v>22</v>
      </c>
      <c r="B79" s="4" t="s">
        <v>118</v>
      </c>
      <c r="C79" s="5">
        <v>57.4497</v>
      </c>
      <c r="D79" s="6">
        <v>14</v>
      </c>
      <c r="E79" s="6">
        <v>359</v>
      </c>
      <c r="F79" s="2">
        <v>2483.7602000000002</v>
      </c>
      <c r="G79" s="4" t="s">
        <v>32</v>
      </c>
      <c r="H79" s="6">
        <v>96</v>
      </c>
      <c r="I79" s="6">
        <v>28</v>
      </c>
      <c r="J79" s="6">
        <v>57</v>
      </c>
      <c r="K79" s="6">
        <v>4</v>
      </c>
      <c r="L79" s="4" t="s">
        <v>145</v>
      </c>
      <c r="M79" s="5">
        <v>6.7808999999999999</v>
      </c>
      <c r="N79" s="4" t="s">
        <v>149</v>
      </c>
      <c r="O79" s="4" t="s">
        <v>35</v>
      </c>
      <c r="P79" s="6">
        <v>26</v>
      </c>
      <c r="Q79" s="6">
        <v>334</v>
      </c>
      <c r="R79" s="6">
        <v>5</v>
      </c>
      <c r="S79" s="5">
        <v>42.952399999999997</v>
      </c>
      <c r="T79" s="4" t="s">
        <v>51</v>
      </c>
      <c r="U79" s="1">
        <f>supply_chain_data_1[[#This Row],[Defect_rates2]]/100</f>
        <v>3.0551418183075479E-2</v>
      </c>
      <c r="V79">
        <v>3.0551418183075478</v>
      </c>
      <c r="W79" s="4" t="s">
        <v>27</v>
      </c>
      <c r="X79" s="4" t="s">
        <v>147</v>
      </c>
      <c r="Y79" s="5">
        <v>852.56809999999996</v>
      </c>
      <c r="Z79" s="5">
        <f t="shared" si="6"/>
        <v>3.7395833333333335</v>
      </c>
      <c r="AA79" s="5">
        <f t="shared" si="7"/>
        <v>902.30139999999994</v>
      </c>
      <c r="AB79" s="1">
        <f>IFERROR(supply_chain_data_1[[#This Row],[Actual_Profit]] / F79, 0)</f>
        <v>0.6367195995813123</v>
      </c>
      <c r="AC79" s="5">
        <f>F79 - supply_chain_data_1[[#This Row],[Total_Costs]]</f>
        <v>1581.4588000000003</v>
      </c>
      <c r="AD79" s="5">
        <f t="shared" si="8"/>
        <v>10.967959127724097</v>
      </c>
      <c r="AE79" s="5">
        <v>1631.1921</v>
      </c>
    </row>
    <row r="80" spans="1:31" x14ac:dyDescent="0.25">
      <c r="A80" s="4" t="s">
        <v>22</v>
      </c>
      <c r="B80" s="4" t="s">
        <v>119</v>
      </c>
      <c r="C80" s="5">
        <v>6.3068999999999997</v>
      </c>
      <c r="D80" s="6">
        <v>50</v>
      </c>
      <c r="E80" s="6">
        <v>946</v>
      </c>
      <c r="F80" s="2">
        <v>1292.4584</v>
      </c>
      <c r="G80" s="4" t="s">
        <v>32</v>
      </c>
      <c r="H80" s="6">
        <v>5</v>
      </c>
      <c r="I80" s="6">
        <v>4</v>
      </c>
      <c r="J80" s="6">
        <v>51</v>
      </c>
      <c r="K80" s="6">
        <v>5</v>
      </c>
      <c r="L80" s="4" t="s">
        <v>145</v>
      </c>
      <c r="M80" s="5">
        <v>8.4670000000000005</v>
      </c>
      <c r="N80" s="4" t="s">
        <v>152</v>
      </c>
      <c r="O80" s="4" t="s">
        <v>25</v>
      </c>
      <c r="P80" s="6">
        <v>25</v>
      </c>
      <c r="Q80" s="6">
        <v>858</v>
      </c>
      <c r="R80" s="6">
        <v>21</v>
      </c>
      <c r="S80" s="5">
        <v>71.126499999999993</v>
      </c>
      <c r="T80" s="4" t="s">
        <v>26</v>
      </c>
      <c r="U80" s="1">
        <f>supply_chain_data_1[[#This Row],[Defect_rates2]]/100</f>
        <v>4.096881332470452E-2</v>
      </c>
      <c r="V80">
        <v>4.0968813324704518</v>
      </c>
      <c r="W80" s="4" t="s">
        <v>44</v>
      </c>
      <c r="X80" s="4" t="s">
        <v>150</v>
      </c>
      <c r="Y80" s="5">
        <v>323.59219999999999</v>
      </c>
      <c r="Z80" s="5">
        <f t="shared" si="6"/>
        <v>189.2</v>
      </c>
      <c r="AA80" s="5">
        <f t="shared" si="7"/>
        <v>403.1857</v>
      </c>
      <c r="AB80" s="1">
        <f>IFERROR(supply_chain_data_1[[#This Row],[Actual_Profit]] / F80, 0)</f>
        <v>0.68804744508604687</v>
      </c>
      <c r="AC80" s="5">
        <f>F80 - supply_chain_data_1[[#This Row],[Total_Costs]]</f>
        <v>889.27269999999999</v>
      </c>
      <c r="AD80" s="5">
        <f t="shared" si="8"/>
        <v>38.756497405170478</v>
      </c>
      <c r="AE80" s="5">
        <v>968.86620000000005</v>
      </c>
    </row>
    <row r="81" spans="1:31" x14ac:dyDescent="0.25">
      <c r="A81" s="4" t="s">
        <v>22</v>
      </c>
      <c r="B81" s="4" t="s">
        <v>120</v>
      </c>
      <c r="C81" s="5">
        <v>57.057000000000002</v>
      </c>
      <c r="D81" s="6">
        <v>56</v>
      </c>
      <c r="E81" s="6">
        <v>198</v>
      </c>
      <c r="F81" s="2">
        <v>7888.7232999999997</v>
      </c>
      <c r="G81" s="4" t="s">
        <v>24</v>
      </c>
      <c r="H81" s="6">
        <v>31</v>
      </c>
      <c r="I81" s="6">
        <v>25</v>
      </c>
      <c r="J81" s="6">
        <v>20</v>
      </c>
      <c r="K81" s="6">
        <v>1</v>
      </c>
      <c r="L81" s="4" t="s">
        <v>145</v>
      </c>
      <c r="M81" s="5">
        <v>6.4962999999999997</v>
      </c>
      <c r="N81" s="4" t="s">
        <v>146</v>
      </c>
      <c r="O81" s="4" t="s">
        <v>41</v>
      </c>
      <c r="P81" s="6">
        <v>5</v>
      </c>
      <c r="Q81" s="6">
        <v>228</v>
      </c>
      <c r="R81" s="6">
        <v>12</v>
      </c>
      <c r="S81" s="5">
        <v>57.870899999999999</v>
      </c>
      <c r="T81" s="4" t="s">
        <v>26</v>
      </c>
      <c r="U81" s="1">
        <f>supply_chain_data_1[[#This Row],[Defect_rates2]]/100</f>
        <v>1.6587162748060824E-3</v>
      </c>
      <c r="V81">
        <v>0.16587162748060824</v>
      </c>
      <c r="W81" s="4" t="s">
        <v>33</v>
      </c>
      <c r="X81" s="4" t="s">
        <v>150</v>
      </c>
      <c r="Y81" s="5">
        <v>351.50420000000003</v>
      </c>
      <c r="Z81" s="5">
        <f t="shared" si="6"/>
        <v>6.387096774193548</v>
      </c>
      <c r="AA81" s="5">
        <f t="shared" si="7"/>
        <v>415.87139999999999</v>
      </c>
      <c r="AB81" s="1">
        <f>IFERROR(supply_chain_data_1[[#This Row],[Actual_Profit]] / F81, 0)</f>
        <v>0.94728280050081104</v>
      </c>
      <c r="AC81" s="5">
        <f>F81 - supply_chain_data_1[[#This Row],[Total_Costs]]</f>
        <v>7472.8518999999997</v>
      </c>
      <c r="AD81" s="5">
        <f t="shared" si="8"/>
        <v>0.32842582241160428</v>
      </c>
      <c r="AE81" s="5">
        <v>7537.2191000000003</v>
      </c>
    </row>
    <row r="82" spans="1:31" x14ac:dyDescent="0.25">
      <c r="A82" s="4" t="s">
        <v>28</v>
      </c>
      <c r="B82" s="4" t="s">
        <v>121</v>
      </c>
      <c r="C82" s="5">
        <v>91.128299999999996</v>
      </c>
      <c r="D82" s="6">
        <v>75</v>
      </c>
      <c r="E82" s="6">
        <v>872</v>
      </c>
      <c r="F82" s="2">
        <v>8651.6726999999992</v>
      </c>
      <c r="G82" s="4" t="s">
        <v>32</v>
      </c>
      <c r="H82" s="6">
        <v>39</v>
      </c>
      <c r="I82" s="6">
        <v>14</v>
      </c>
      <c r="J82" s="6">
        <v>41</v>
      </c>
      <c r="K82" s="6">
        <v>2</v>
      </c>
      <c r="L82" s="4" t="s">
        <v>151</v>
      </c>
      <c r="M82" s="5">
        <v>2.8332000000000002</v>
      </c>
      <c r="N82" s="4" t="s">
        <v>146</v>
      </c>
      <c r="O82" s="4" t="s">
        <v>49</v>
      </c>
      <c r="P82" s="6">
        <v>8</v>
      </c>
      <c r="Q82" s="6">
        <v>202</v>
      </c>
      <c r="R82" s="6">
        <v>5</v>
      </c>
      <c r="S82" s="5">
        <v>76.961200000000005</v>
      </c>
      <c r="T82" s="4" t="s">
        <v>36</v>
      </c>
      <c r="U82" s="1">
        <f>supply_chain_data_1[[#This Row],[Defect_rates2]]/100</f>
        <v>2.8496621985053306E-2</v>
      </c>
      <c r="V82">
        <v>2.8496621985053308</v>
      </c>
      <c r="W82" s="4" t="s">
        <v>44</v>
      </c>
      <c r="X82" s="4" t="s">
        <v>147</v>
      </c>
      <c r="Y82" s="5">
        <v>787.7799</v>
      </c>
      <c r="Z82" s="5">
        <f t="shared" si="6"/>
        <v>22.358974358974358</v>
      </c>
      <c r="AA82" s="5">
        <f t="shared" si="7"/>
        <v>867.57429999999999</v>
      </c>
      <c r="AB82" s="1">
        <f>IFERROR(supply_chain_data_1[[#This Row],[Actual_Profit]] / F82, 0)</f>
        <v>0.89972178443597384</v>
      </c>
      <c r="AC82" s="5">
        <f>F82 - supply_chain_data_1[[#This Row],[Total_Costs]]</f>
        <v>7784.0983999999989</v>
      </c>
      <c r="AD82" s="5">
        <f t="shared" si="8"/>
        <v>24.849054370966481</v>
      </c>
      <c r="AE82" s="5">
        <v>7863.8927999999996</v>
      </c>
    </row>
    <row r="83" spans="1:31" x14ac:dyDescent="0.25">
      <c r="A83" s="4" t="s">
        <v>22</v>
      </c>
      <c r="B83" s="4" t="s">
        <v>122</v>
      </c>
      <c r="C83" s="5">
        <v>72.819199999999995</v>
      </c>
      <c r="D83" s="6">
        <v>9</v>
      </c>
      <c r="E83" s="6">
        <v>774</v>
      </c>
      <c r="F83" s="2">
        <v>4384.4134000000004</v>
      </c>
      <c r="G83" s="4" t="s">
        <v>32</v>
      </c>
      <c r="H83" s="6">
        <v>48</v>
      </c>
      <c r="I83" s="6">
        <v>6</v>
      </c>
      <c r="J83" s="6">
        <v>8</v>
      </c>
      <c r="K83" s="6">
        <v>5</v>
      </c>
      <c r="L83" s="4" t="s">
        <v>145</v>
      </c>
      <c r="M83" s="5">
        <v>4.0663</v>
      </c>
      <c r="N83" s="4" t="s">
        <v>146</v>
      </c>
      <c r="O83" s="4" t="s">
        <v>39</v>
      </c>
      <c r="P83" s="6">
        <v>28</v>
      </c>
      <c r="Q83" s="6">
        <v>698</v>
      </c>
      <c r="R83" s="6">
        <v>1</v>
      </c>
      <c r="S83" s="5">
        <v>19.7896</v>
      </c>
      <c r="T83" s="4" t="s">
        <v>26</v>
      </c>
      <c r="U83" s="1">
        <f>supply_chain_data_1[[#This Row],[Defect_rates2]]/100</f>
        <v>2.5475471215487121E-2</v>
      </c>
      <c r="V83">
        <v>2.5475471215487122</v>
      </c>
      <c r="W83" s="4" t="s">
        <v>37</v>
      </c>
      <c r="X83" s="4" t="s">
        <v>147</v>
      </c>
      <c r="Y83" s="5">
        <v>276.7783</v>
      </c>
      <c r="Z83" s="5">
        <f t="shared" si="6"/>
        <v>16.125</v>
      </c>
      <c r="AA83" s="5">
        <f t="shared" si="7"/>
        <v>300.63420000000002</v>
      </c>
      <c r="AB83" s="1">
        <f>IFERROR(supply_chain_data_1[[#This Row],[Actual_Profit]] / F83, 0)</f>
        <v>0.9314311465246411</v>
      </c>
      <c r="AC83" s="5">
        <f>F83 - supply_chain_data_1[[#This Row],[Total_Costs]]</f>
        <v>4083.7792000000004</v>
      </c>
      <c r="AD83" s="5">
        <f t="shared" si="8"/>
        <v>19.718014720787032</v>
      </c>
      <c r="AE83" s="5">
        <v>4107.6351000000004</v>
      </c>
    </row>
    <row r="84" spans="1:31" x14ac:dyDescent="0.25">
      <c r="A84" s="4" t="s">
        <v>28</v>
      </c>
      <c r="B84" s="4" t="s">
        <v>123</v>
      </c>
      <c r="C84" s="5">
        <v>17.0349</v>
      </c>
      <c r="D84" s="6">
        <v>13</v>
      </c>
      <c r="E84" s="6">
        <v>336</v>
      </c>
      <c r="F84" s="2">
        <v>2943.3818999999999</v>
      </c>
      <c r="G84" s="4" t="s">
        <v>32</v>
      </c>
      <c r="H84" s="6">
        <v>42</v>
      </c>
      <c r="I84" s="6">
        <v>19</v>
      </c>
      <c r="J84" s="6">
        <v>72</v>
      </c>
      <c r="K84" s="6">
        <v>1</v>
      </c>
      <c r="L84" s="4" t="s">
        <v>148</v>
      </c>
      <c r="M84" s="5">
        <v>4.7081999999999997</v>
      </c>
      <c r="N84" s="4" t="s">
        <v>155</v>
      </c>
      <c r="O84" s="4" t="s">
        <v>25</v>
      </c>
      <c r="P84" s="6">
        <v>6</v>
      </c>
      <c r="Q84" s="6">
        <v>955</v>
      </c>
      <c r="R84" s="6">
        <v>26</v>
      </c>
      <c r="S84" s="5">
        <v>4.4653</v>
      </c>
      <c r="T84" s="4" t="s">
        <v>26</v>
      </c>
      <c r="U84" s="1">
        <f>supply_chain_data_1[[#This Row],[Defect_rates2]]/100</f>
        <v>4.1378770486223571E-2</v>
      </c>
      <c r="V84">
        <v>4.1378770486223573</v>
      </c>
      <c r="W84" s="4" t="s">
        <v>27</v>
      </c>
      <c r="X84" s="4" t="s">
        <v>150</v>
      </c>
      <c r="Y84" s="5">
        <v>589.97860000000003</v>
      </c>
      <c r="Z84" s="5">
        <f t="shared" si="6"/>
        <v>8</v>
      </c>
      <c r="AA84" s="5">
        <f t="shared" si="7"/>
        <v>599.15210000000002</v>
      </c>
      <c r="AB84" s="1">
        <f>IFERROR(supply_chain_data_1[[#This Row],[Actual_Profit]] / F84, 0)</f>
        <v>0.79644092395893318</v>
      </c>
      <c r="AC84" s="5">
        <f>F84 - supply_chain_data_1[[#This Row],[Total_Costs]]</f>
        <v>2344.2298000000001</v>
      </c>
      <c r="AD84" s="5">
        <f t="shared" si="8"/>
        <v>13.903266883371121</v>
      </c>
      <c r="AE84" s="5">
        <v>2353.4032999999999</v>
      </c>
    </row>
    <row r="85" spans="1:31" x14ac:dyDescent="0.25">
      <c r="A85" s="4" t="s">
        <v>22</v>
      </c>
      <c r="B85" s="4" t="s">
        <v>124</v>
      </c>
      <c r="C85" s="5">
        <v>68.911199999999994</v>
      </c>
      <c r="D85" s="6">
        <v>82</v>
      </c>
      <c r="E85" s="6">
        <v>663</v>
      </c>
      <c r="F85" s="2">
        <v>2411.7546000000002</v>
      </c>
      <c r="G85" s="4" t="s">
        <v>32</v>
      </c>
      <c r="H85" s="6">
        <v>65</v>
      </c>
      <c r="I85" s="6">
        <v>24</v>
      </c>
      <c r="J85" s="6">
        <v>7</v>
      </c>
      <c r="K85" s="6">
        <v>8</v>
      </c>
      <c r="L85" s="4" t="s">
        <v>145</v>
      </c>
      <c r="M85" s="5">
        <v>4.9497999999999998</v>
      </c>
      <c r="N85" s="4" t="s">
        <v>149</v>
      </c>
      <c r="O85" s="4" t="s">
        <v>41</v>
      </c>
      <c r="P85" s="6">
        <v>20</v>
      </c>
      <c r="Q85" s="6">
        <v>443</v>
      </c>
      <c r="R85" s="6">
        <v>5</v>
      </c>
      <c r="S85" s="5">
        <v>97.730599999999995</v>
      </c>
      <c r="T85" s="4" t="s">
        <v>36</v>
      </c>
      <c r="U85" s="1">
        <f>supply_chain_data_1[[#This Row],[Defect_rates2]]/100</f>
        <v>7.730061340672478E-3</v>
      </c>
      <c r="V85">
        <v>0.77300613406724783</v>
      </c>
      <c r="W85" s="4" t="s">
        <v>27</v>
      </c>
      <c r="X85" s="4" t="s">
        <v>153</v>
      </c>
      <c r="Y85" s="5">
        <v>682.971</v>
      </c>
      <c r="Z85" s="5">
        <f t="shared" si="6"/>
        <v>10.199999999999999</v>
      </c>
      <c r="AA85" s="5">
        <f t="shared" si="7"/>
        <v>785.65139999999997</v>
      </c>
      <c r="AB85" s="1">
        <f>IFERROR(supply_chain_data_1[[#This Row],[Actual_Profit]] / F85, 0)</f>
        <v>0.67424073742826074</v>
      </c>
      <c r="AC85" s="5">
        <f>F85 - supply_chain_data_1[[#This Row],[Total_Costs]]</f>
        <v>1626.1032000000002</v>
      </c>
      <c r="AD85" s="5">
        <f t="shared" si="8"/>
        <v>5.1250306688658531</v>
      </c>
      <c r="AE85" s="5">
        <v>1728.7836</v>
      </c>
    </row>
    <row r="86" spans="1:31" x14ac:dyDescent="0.25">
      <c r="A86" s="4" t="s">
        <v>22</v>
      </c>
      <c r="B86" s="4" t="s">
        <v>125</v>
      </c>
      <c r="C86" s="5">
        <v>89.104399999999998</v>
      </c>
      <c r="D86" s="6">
        <v>99</v>
      </c>
      <c r="E86" s="6">
        <v>618</v>
      </c>
      <c r="F86" s="2">
        <v>2048.2901000000002</v>
      </c>
      <c r="G86" s="4" t="s">
        <v>32</v>
      </c>
      <c r="H86" s="6">
        <v>73</v>
      </c>
      <c r="I86" s="6">
        <v>26</v>
      </c>
      <c r="J86" s="6">
        <v>80</v>
      </c>
      <c r="K86" s="6">
        <v>10</v>
      </c>
      <c r="L86" s="4" t="s">
        <v>148</v>
      </c>
      <c r="M86" s="5">
        <v>8.3816000000000006</v>
      </c>
      <c r="N86" s="4" t="s">
        <v>152</v>
      </c>
      <c r="O86" s="4" t="s">
        <v>49</v>
      </c>
      <c r="P86" s="6">
        <v>24</v>
      </c>
      <c r="Q86" s="6">
        <v>589</v>
      </c>
      <c r="R86" s="6">
        <v>22</v>
      </c>
      <c r="S86" s="5">
        <v>33.808599999999998</v>
      </c>
      <c r="T86" s="4" t="s">
        <v>51</v>
      </c>
      <c r="U86" s="1">
        <f>supply_chain_data_1[[#This Row],[Defect_rates2]]/100</f>
        <v>4.843456577118041E-2</v>
      </c>
      <c r="V86">
        <v>4.8434565771180411</v>
      </c>
      <c r="W86" s="4" t="s">
        <v>33</v>
      </c>
      <c r="X86" s="4" t="s">
        <v>147</v>
      </c>
      <c r="Y86" s="5">
        <v>465.45699999999999</v>
      </c>
      <c r="Z86" s="5">
        <f t="shared" si="6"/>
        <v>8.4657534246575334</v>
      </c>
      <c r="AA86" s="5">
        <f t="shared" si="7"/>
        <v>507.6472</v>
      </c>
      <c r="AB86" s="1">
        <f>IFERROR(supply_chain_data_1[[#This Row],[Actual_Profit]] / F86, 0)</f>
        <v>0.75216049718738576</v>
      </c>
      <c r="AC86" s="5">
        <f>F86 - supply_chain_data_1[[#This Row],[Total_Costs]]</f>
        <v>1540.6429000000003</v>
      </c>
      <c r="AD86" s="5">
        <f t="shared" si="8"/>
        <v>29.932561646589495</v>
      </c>
      <c r="AE86" s="5">
        <v>1582.8331000000001</v>
      </c>
    </row>
    <row r="87" spans="1:31" x14ac:dyDescent="0.25">
      <c r="A87" s="4" t="s">
        <v>45</v>
      </c>
      <c r="B87" s="4" t="s">
        <v>126</v>
      </c>
      <c r="C87" s="5">
        <v>76.962999999999994</v>
      </c>
      <c r="D87" s="6">
        <v>83</v>
      </c>
      <c r="E87" s="6">
        <v>25</v>
      </c>
      <c r="F87" s="2">
        <v>8684.6131000000005</v>
      </c>
      <c r="G87" s="4" t="s">
        <v>30</v>
      </c>
      <c r="H87" s="6">
        <v>15</v>
      </c>
      <c r="I87" s="6">
        <v>18</v>
      </c>
      <c r="J87" s="6">
        <v>66</v>
      </c>
      <c r="K87" s="6">
        <v>2</v>
      </c>
      <c r="L87" s="4" t="s">
        <v>151</v>
      </c>
      <c r="M87" s="5">
        <v>8.2492000000000001</v>
      </c>
      <c r="N87" s="4" t="s">
        <v>152</v>
      </c>
      <c r="O87" s="4" t="s">
        <v>49</v>
      </c>
      <c r="P87" s="6">
        <v>4</v>
      </c>
      <c r="Q87" s="6">
        <v>211</v>
      </c>
      <c r="R87" s="6">
        <v>2</v>
      </c>
      <c r="S87" s="5">
        <v>69.929299999999998</v>
      </c>
      <c r="T87" s="4" t="s">
        <v>36</v>
      </c>
      <c r="U87" s="1">
        <f>supply_chain_data_1[[#This Row],[Defect_rates2]]/100</f>
        <v>1.3744289997457582E-2</v>
      </c>
      <c r="V87">
        <v>1.3744289997457582</v>
      </c>
      <c r="W87" s="4" t="s">
        <v>27</v>
      </c>
      <c r="X87" s="4" t="s">
        <v>147</v>
      </c>
      <c r="Y87" s="5">
        <v>842.68679999999995</v>
      </c>
      <c r="Z87" s="5">
        <f t="shared" si="6"/>
        <v>1.6666666666666667</v>
      </c>
      <c r="AA87" s="5">
        <f t="shared" si="7"/>
        <v>920.86529999999993</v>
      </c>
      <c r="AB87" s="1">
        <f>IFERROR(supply_chain_data_1[[#This Row],[Actual_Profit]] / F87, 0)</f>
        <v>0.89396588087499262</v>
      </c>
      <c r="AC87" s="5">
        <f>F87 - supply_chain_data_1[[#This Row],[Total_Costs]]</f>
        <v>7763.747800000001</v>
      </c>
      <c r="AD87" s="5">
        <f t="shared" si="8"/>
        <v>0.34360724993643954</v>
      </c>
      <c r="AE87" s="5">
        <v>7841.9263000000001</v>
      </c>
    </row>
    <row r="88" spans="1:31" x14ac:dyDescent="0.25">
      <c r="A88" s="4" t="s">
        <v>28</v>
      </c>
      <c r="B88" s="4" t="s">
        <v>127</v>
      </c>
      <c r="C88" s="5">
        <v>19.998200000000001</v>
      </c>
      <c r="D88" s="6">
        <v>18</v>
      </c>
      <c r="E88" s="6">
        <v>223</v>
      </c>
      <c r="F88" s="2">
        <v>1229.5909999999999</v>
      </c>
      <c r="G88" s="4" t="s">
        <v>32</v>
      </c>
      <c r="H88" s="6">
        <v>32</v>
      </c>
      <c r="I88" s="6">
        <v>14</v>
      </c>
      <c r="J88" s="6">
        <v>22</v>
      </c>
      <c r="K88" s="6">
        <v>6</v>
      </c>
      <c r="L88" s="4" t="s">
        <v>145</v>
      </c>
      <c r="M88" s="5">
        <v>1.4542999999999999</v>
      </c>
      <c r="N88" s="4" t="s">
        <v>149</v>
      </c>
      <c r="O88" s="4" t="s">
        <v>25</v>
      </c>
      <c r="P88" s="6">
        <v>4</v>
      </c>
      <c r="Q88" s="6">
        <v>569</v>
      </c>
      <c r="R88" s="6">
        <v>18</v>
      </c>
      <c r="S88" s="5">
        <v>74.608999999999995</v>
      </c>
      <c r="T88" s="4" t="s">
        <v>51</v>
      </c>
      <c r="U88" s="1">
        <f>supply_chain_data_1[[#This Row],[Defect_rates2]]/100</f>
        <v>2.0515129307662465E-2</v>
      </c>
      <c r="V88">
        <v>2.0515129307662465</v>
      </c>
      <c r="W88" s="4" t="s">
        <v>37</v>
      </c>
      <c r="X88" s="4" t="s">
        <v>153</v>
      </c>
      <c r="Y88" s="5">
        <v>264.25490000000002</v>
      </c>
      <c r="Z88" s="5">
        <f t="shared" si="6"/>
        <v>6.96875</v>
      </c>
      <c r="AA88" s="5">
        <f t="shared" si="7"/>
        <v>340.31820000000005</v>
      </c>
      <c r="AB88" s="1">
        <f>IFERROR(supply_chain_data_1[[#This Row],[Actual_Profit]] / F88, 0)</f>
        <v>0.7232265037723925</v>
      </c>
      <c r="AC88" s="5">
        <f>F88 - supply_chain_data_1[[#This Row],[Total_Costs]]</f>
        <v>889.27279999999985</v>
      </c>
      <c r="AD88" s="5">
        <f t="shared" si="8"/>
        <v>4.57487383560873</v>
      </c>
      <c r="AE88" s="5">
        <v>965.33609999999999</v>
      </c>
    </row>
    <row r="89" spans="1:31" x14ac:dyDescent="0.25">
      <c r="A89" s="4" t="s">
        <v>22</v>
      </c>
      <c r="B89" s="4" t="s">
        <v>128</v>
      </c>
      <c r="C89" s="5">
        <v>80.414000000000001</v>
      </c>
      <c r="D89" s="6">
        <v>24</v>
      </c>
      <c r="E89" s="6">
        <v>79</v>
      </c>
      <c r="F89" s="2">
        <v>5133.8467000000001</v>
      </c>
      <c r="G89" s="4" t="s">
        <v>43</v>
      </c>
      <c r="H89" s="6">
        <v>5</v>
      </c>
      <c r="I89" s="6">
        <v>7</v>
      </c>
      <c r="J89" s="6">
        <v>55</v>
      </c>
      <c r="K89" s="6">
        <v>10</v>
      </c>
      <c r="L89" s="4" t="s">
        <v>148</v>
      </c>
      <c r="M89" s="5">
        <v>6.5758000000000001</v>
      </c>
      <c r="N89" s="4" t="s">
        <v>146</v>
      </c>
      <c r="O89" s="4" t="s">
        <v>49</v>
      </c>
      <c r="P89" s="6">
        <v>27</v>
      </c>
      <c r="Q89" s="6">
        <v>523</v>
      </c>
      <c r="R89" s="6">
        <v>17</v>
      </c>
      <c r="S89" s="5">
        <v>28.696999999999999</v>
      </c>
      <c r="T89" s="4" t="s">
        <v>36</v>
      </c>
      <c r="U89" s="1">
        <f>supply_chain_data_1[[#This Row],[Defect_rates2]]/100</f>
        <v>3.6937377878392755E-2</v>
      </c>
      <c r="V89">
        <v>3.6937377878392752</v>
      </c>
      <c r="W89" s="4" t="s">
        <v>44</v>
      </c>
      <c r="X89" s="4" t="s">
        <v>147</v>
      </c>
      <c r="Y89" s="5">
        <v>879.35919999999999</v>
      </c>
      <c r="Z89" s="5">
        <f t="shared" si="6"/>
        <v>15.8</v>
      </c>
      <c r="AA89" s="5">
        <f t="shared" si="7"/>
        <v>914.63199999999995</v>
      </c>
      <c r="AB89" s="1">
        <f>IFERROR(supply_chain_data_1[[#This Row],[Actual_Profit]] / F89, 0)</f>
        <v>0.82184275194660572</v>
      </c>
      <c r="AC89" s="5">
        <f>F89 - supply_chain_data_1[[#This Row],[Total_Costs]]</f>
        <v>4219.2147000000004</v>
      </c>
      <c r="AD89" s="5">
        <f t="shared" si="8"/>
        <v>2.9180528523930276</v>
      </c>
      <c r="AE89" s="5">
        <v>4254.4875000000002</v>
      </c>
    </row>
    <row r="90" spans="1:31" x14ac:dyDescent="0.25">
      <c r="A90" s="4" t="s">
        <v>45</v>
      </c>
      <c r="B90" s="4" t="s">
        <v>129</v>
      </c>
      <c r="C90" s="5">
        <v>75.270399999999995</v>
      </c>
      <c r="D90" s="6">
        <v>58</v>
      </c>
      <c r="E90" s="6">
        <v>737</v>
      </c>
      <c r="F90" s="2">
        <v>9444.7420000000002</v>
      </c>
      <c r="G90" s="4" t="s">
        <v>43</v>
      </c>
      <c r="H90" s="6">
        <v>60</v>
      </c>
      <c r="I90" s="6">
        <v>18</v>
      </c>
      <c r="J90" s="6">
        <v>85</v>
      </c>
      <c r="K90" s="6">
        <v>7</v>
      </c>
      <c r="L90" s="4" t="s">
        <v>148</v>
      </c>
      <c r="M90" s="5">
        <v>3.8012999999999999</v>
      </c>
      <c r="N90" s="4" t="s">
        <v>155</v>
      </c>
      <c r="O90" s="4" t="s">
        <v>25</v>
      </c>
      <c r="P90" s="6">
        <v>21</v>
      </c>
      <c r="Q90" s="6">
        <v>953</v>
      </c>
      <c r="R90" s="6">
        <v>11</v>
      </c>
      <c r="S90" s="5">
        <v>68.184899999999999</v>
      </c>
      <c r="T90" s="4" t="s">
        <v>26</v>
      </c>
      <c r="U90" s="1">
        <f>supply_chain_data_1[[#This Row],[Defect_rates2]]/100</f>
        <v>7.22204401882931E-3</v>
      </c>
      <c r="V90">
        <v>0.722204401882931</v>
      </c>
      <c r="W90" s="4" t="s">
        <v>44</v>
      </c>
      <c r="X90" s="4" t="s">
        <v>153</v>
      </c>
      <c r="Y90" s="5">
        <v>103.9162</v>
      </c>
      <c r="Z90" s="5">
        <f t="shared" si="6"/>
        <v>12.283333333333333</v>
      </c>
      <c r="AA90" s="5">
        <f t="shared" si="7"/>
        <v>175.9024</v>
      </c>
      <c r="AB90" s="1">
        <f>IFERROR(supply_chain_data_1[[#This Row],[Actual_Profit]] / F90, 0)</f>
        <v>0.9813756267773116</v>
      </c>
      <c r="AC90" s="5">
        <f>F90 - supply_chain_data_1[[#This Row],[Total_Costs]]</f>
        <v>9268.8395999999993</v>
      </c>
      <c r="AD90" s="5">
        <f t="shared" si="8"/>
        <v>5.3226464418772013</v>
      </c>
      <c r="AE90" s="5">
        <v>9340.8258000000005</v>
      </c>
    </row>
    <row r="91" spans="1:31" x14ac:dyDescent="0.25">
      <c r="A91" s="4" t="s">
        <v>45</v>
      </c>
      <c r="B91" s="4" t="s">
        <v>130</v>
      </c>
      <c r="C91" s="5">
        <v>97.760099999999994</v>
      </c>
      <c r="D91" s="6">
        <v>10</v>
      </c>
      <c r="E91" s="6">
        <v>134</v>
      </c>
      <c r="F91" s="2">
        <v>5924.6826000000001</v>
      </c>
      <c r="G91" s="4" t="s">
        <v>32</v>
      </c>
      <c r="H91" s="6">
        <v>90</v>
      </c>
      <c r="I91" s="6">
        <v>1</v>
      </c>
      <c r="J91" s="6">
        <v>27</v>
      </c>
      <c r="K91" s="6">
        <v>8</v>
      </c>
      <c r="L91" s="4" t="s">
        <v>145</v>
      </c>
      <c r="M91" s="5">
        <v>9.9298000000000002</v>
      </c>
      <c r="N91" s="4" t="s">
        <v>149</v>
      </c>
      <c r="O91" s="4" t="s">
        <v>35</v>
      </c>
      <c r="P91" s="6">
        <v>23</v>
      </c>
      <c r="Q91" s="6">
        <v>370</v>
      </c>
      <c r="R91" s="6">
        <v>11</v>
      </c>
      <c r="S91" s="5">
        <v>46.603900000000003</v>
      </c>
      <c r="T91" s="4" t="s">
        <v>26</v>
      </c>
      <c r="U91" s="1">
        <f>supply_chain_data_1[[#This Row],[Defect_rates2]]/100</f>
        <v>1.9076657339590745E-2</v>
      </c>
      <c r="V91">
        <v>1.9076657339590744</v>
      </c>
      <c r="W91" s="4" t="s">
        <v>37</v>
      </c>
      <c r="X91" s="4" t="s">
        <v>147</v>
      </c>
      <c r="Y91" s="5">
        <v>517.5</v>
      </c>
      <c r="Z91" s="5">
        <f t="shared" si="6"/>
        <v>1.4888888888888889</v>
      </c>
      <c r="AA91" s="5">
        <f t="shared" si="7"/>
        <v>574.03369999999995</v>
      </c>
      <c r="AB91" s="1">
        <f>IFERROR(supply_chain_data_1[[#This Row],[Actual_Profit]] / F91, 0)</f>
        <v>0.90311148482452042</v>
      </c>
      <c r="AC91" s="5">
        <f>F91 - supply_chain_data_1[[#This Row],[Total_Costs]]</f>
        <v>5350.6489000000001</v>
      </c>
      <c r="AD91" s="5">
        <f t="shared" si="8"/>
        <v>2.55627208350516</v>
      </c>
      <c r="AE91" s="5">
        <v>5407.1826000000001</v>
      </c>
    </row>
    <row r="92" spans="1:31" x14ac:dyDescent="0.25">
      <c r="A92" s="4" t="s">
        <v>28</v>
      </c>
      <c r="B92" s="4" t="s">
        <v>131</v>
      </c>
      <c r="C92" s="5">
        <v>13.8819</v>
      </c>
      <c r="D92" s="6">
        <v>56</v>
      </c>
      <c r="E92" s="6">
        <v>320</v>
      </c>
      <c r="F92" s="2">
        <v>9592.6335999999992</v>
      </c>
      <c r="G92" s="4" t="s">
        <v>24</v>
      </c>
      <c r="H92" s="6">
        <v>66</v>
      </c>
      <c r="I92" s="6">
        <v>18</v>
      </c>
      <c r="J92" s="6">
        <v>96</v>
      </c>
      <c r="K92" s="6">
        <v>7</v>
      </c>
      <c r="L92" s="4" t="s">
        <v>145</v>
      </c>
      <c r="M92" s="5">
        <v>7.6744000000000003</v>
      </c>
      <c r="N92" s="4" t="s">
        <v>146</v>
      </c>
      <c r="O92" s="4" t="s">
        <v>41</v>
      </c>
      <c r="P92" s="6">
        <v>8</v>
      </c>
      <c r="Q92" s="6">
        <v>585</v>
      </c>
      <c r="R92" s="6">
        <v>8</v>
      </c>
      <c r="S92" s="5">
        <v>85.676000000000002</v>
      </c>
      <c r="T92" s="4" t="s">
        <v>51</v>
      </c>
      <c r="U92" s="1">
        <f>supply_chain_data_1[[#This Row],[Defect_rates2]]/100</f>
        <v>1.2193822244013884E-2</v>
      </c>
      <c r="V92">
        <v>1.2193822244013883</v>
      </c>
      <c r="W92" s="4" t="s">
        <v>37</v>
      </c>
      <c r="X92" s="4" t="s">
        <v>147</v>
      </c>
      <c r="Y92" s="5">
        <v>990.07849999999996</v>
      </c>
      <c r="Z92" s="5">
        <f t="shared" si="6"/>
        <v>4.8484848484848486</v>
      </c>
      <c r="AA92" s="5">
        <f t="shared" si="7"/>
        <v>1083.4288999999999</v>
      </c>
      <c r="AB92" s="1">
        <f>IFERROR(supply_chain_data_1[[#This Row],[Actual_Profit]] / F92, 0)</f>
        <v>0.88705615734139986</v>
      </c>
      <c r="AC92" s="5">
        <f>F92 - supply_chain_data_1[[#This Row],[Total_Costs]]</f>
        <v>8509.2046999999984</v>
      </c>
      <c r="AD92" s="5">
        <f t="shared" si="8"/>
        <v>3.9020231180844429</v>
      </c>
      <c r="AE92" s="5">
        <v>8602.5550999999996</v>
      </c>
    </row>
    <row r="93" spans="1:31" x14ac:dyDescent="0.25">
      <c r="A93" s="4" t="s">
        <v>45</v>
      </c>
      <c r="B93" s="4" t="s">
        <v>132</v>
      </c>
      <c r="C93" s="5">
        <v>62.112000000000002</v>
      </c>
      <c r="D93" s="6">
        <v>90</v>
      </c>
      <c r="E93" s="6">
        <v>916</v>
      </c>
      <c r="F93" s="2">
        <v>1935.2067999999999</v>
      </c>
      <c r="G93" s="4" t="s">
        <v>43</v>
      </c>
      <c r="H93" s="6">
        <v>98</v>
      </c>
      <c r="I93" s="6">
        <v>22</v>
      </c>
      <c r="J93" s="6">
        <v>85</v>
      </c>
      <c r="K93" s="6">
        <v>7</v>
      </c>
      <c r="L93" s="4" t="s">
        <v>145</v>
      </c>
      <c r="M93" s="5">
        <v>7.4714999999999998</v>
      </c>
      <c r="N93" s="4" t="s">
        <v>154</v>
      </c>
      <c r="O93" s="4" t="s">
        <v>39</v>
      </c>
      <c r="P93" s="6">
        <v>5</v>
      </c>
      <c r="Q93" s="6">
        <v>207</v>
      </c>
      <c r="R93" s="6">
        <v>28</v>
      </c>
      <c r="S93" s="5">
        <v>39.7729</v>
      </c>
      <c r="T93" s="4" t="s">
        <v>26</v>
      </c>
      <c r="U93" s="1">
        <f>supply_chain_data_1[[#This Row],[Defect_rates2]]/100</f>
        <v>6.260018582093946E-3</v>
      </c>
      <c r="V93">
        <v>0.62600185820939458</v>
      </c>
      <c r="W93" s="4" t="s">
        <v>37</v>
      </c>
      <c r="X93" s="4" t="s">
        <v>147</v>
      </c>
      <c r="Y93" s="5">
        <v>996.77829999999994</v>
      </c>
      <c r="Z93" s="5">
        <f t="shared" si="6"/>
        <v>9.3469387755102034</v>
      </c>
      <c r="AA93" s="5">
        <f t="shared" si="7"/>
        <v>1044.0227</v>
      </c>
      <c r="AB93" s="1">
        <f>IFERROR(supply_chain_data_1[[#This Row],[Actual_Profit]] / F93, 0)</f>
        <v>0.46051104202403587</v>
      </c>
      <c r="AC93" s="5">
        <f>F93 - supply_chain_data_1[[#This Row],[Total_Costs]]</f>
        <v>891.18409999999994</v>
      </c>
      <c r="AD93" s="5">
        <f t="shared" si="8"/>
        <v>5.7341770211980547</v>
      </c>
      <c r="AE93" s="5">
        <v>938.42849999999999</v>
      </c>
    </row>
    <row r="94" spans="1:31" x14ac:dyDescent="0.25">
      <c r="A94" s="4" t="s">
        <v>45</v>
      </c>
      <c r="B94" s="4" t="s">
        <v>133</v>
      </c>
      <c r="C94" s="5">
        <v>47.714199999999998</v>
      </c>
      <c r="D94" s="6">
        <v>44</v>
      </c>
      <c r="E94" s="6">
        <v>276</v>
      </c>
      <c r="F94" s="2">
        <v>2100.1298000000002</v>
      </c>
      <c r="G94" s="4" t="s">
        <v>43</v>
      </c>
      <c r="H94" s="6">
        <v>90</v>
      </c>
      <c r="I94" s="6">
        <v>25</v>
      </c>
      <c r="J94" s="6">
        <v>10</v>
      </c>
      <c r="K94" s="6">
        <v>8</v>
      </c>
      <c r="L94" s="4" t="s">
        <v>145</v>
      </c>
      <c r="M94" s="5">
        <v>4.4695</v>
      </c>
      <c r="N94" s="4" t="s">
        <v>155</v>
      </c>
      <c r="O94" s="4" t="s">
        <v>25</v>
      </c>
      <c r="P94" s="6">
        <v>4</v>
      </c>
      <c r="Q94" s="6">
        <v>671</v>
      </c>
      <c r="R94" s="6">
        <v>29</v>
      </c>
      <c r="S94" s="5">
        <v>62.612699999999997</v>
      </c>
      <c r="T94" s="4" t="s">
        <v>51</v>
      </c>
      <c r="U94" s="1">
        <f>supply_chain_data_1[[#This Row],[Defect_rates2]]/100</f>
        <v>3.3343182522473924E-3</v>
      </c>
      <c r="V94">
        <v>0.33343182522473924</v>
      </c>
      <c r="W94" s="4" t="s">
        <v>37</v>
      </c>
      <c r="X94" s="4" t="s">
        <v>147</v>
      </c>
      <c r="Y94" s="5">
        <v>230.09280000000001</v>
      </c>
      <c r="Z94" s="5">
        <f t="shared" si="6"/>
        <v>3.0666666666666669</v>
      </c>
      <c r="AA94" s="5">
        <f t="shared" si="7"/>
        <v>297.17500000000001</v>
      </c>
      <c r="AB94" s="1">
        <f>IFERROR(supply_chain_data_1[[#This Row],[Actual_Profit]] / F94, 0)</f>
        <v>0.85849684148094085</v>
      </c>
      <c r="AC94" s="5">
        <f>F94 - supply_chain_data_1[[#This Row],[Total_Costs]]</f>
        <v>1802.9548000000002</v>
      </c>
      <c r="AD94" s="5">
        <f t="shared" si="8"/>
        <v>0.92027183762028031</v>
      </c>
      <c r="AE94" s="5">
        <v>1870.037</v>
      </c>
    </row>
    <row r="95" spans="1:31" x14ac:dyDescent="0.25">
      <c r="A95" s="4" t="s">
        <v>22</v>
      </c>
      <c r="B95" s="4" t="s">
        <v>134</v>
      </c>
      <c r="C95" s="5">
        <v>69.290800000000004</v>
      </c>
      <c r="D95" s="6">
        <v>88</v>
      </c>
      <c r="E95" s="6">
        <v>114</v>
      </c>
      <c r="F95" s="2">
        <v>4531.4021000000002</v>
      </c>
      <c r="G95" s="4" t="s">
        <v>32</v>
      </c>
      <c r="H95" s="6">
        <v>63</v>
      </c>
      <c r="I95" s="6">
        <v>17</v>
      </c>
      <c r="J95" s="6">
        <v>66</v>
      </c>
      <c r="K95" s="6">
        <v>1</v>
      </c>
      <c r="L95" s="4" t="s">
        <v>151</v>
      </c>
      <c r="M95" s="5">
        <v>7.0064000000000002</v>
      </c>
      <c r="N95" s="4" t="s">
        <v>154</v>
      </c>
      <c r="O95" s="4" t="s">
        <v>49</v>
      </c>
      <c r="P95" s="6">
        <v>21</v>
      </c>
      <c r="Q95" s="6">
        <v>824</v>
      </c>
      <c r="R95" s="6">
        <v>20</v>
      </c>
      <c r="S95" s="5">
        <v>35.633699999999997</v>
      </c>
      <c r="T95" s="4" t="s">
        <v>36</v>
      </c>
      <c r="U95" s="1">
        <f>supply_chain_data_1[[#This Row],[Defect_rates2]]/100</f>
        <v>4.165781795424145E-2</v>
      </c>
      <c r="V95">
        <v>4.1657817954241452</v>
      </c>
      <c r="W95" s="4" t="s">
        <v>33</v>
      </c>
      <c r="X95" s="4" t="s">
        <v>153</v>
      </c>
      <c r="Y95" s="5">
        <v>823.52380000000005</v>
      </c>
      <c r="Z95" s="5">
        <f t="shared" si="6"/>
        <v>1.8095238095238095</v>
      </c>
      <c r="AA95" s="5">
        <f t="shared" si="7"/>
        <v>866.16390000000001</v>
      </c>
      <c r="AB95" s="1">
        <f>IFERROR(supply_chain_data_1[[#This Row],[Actual_Profit]] / F95, 0)</f>
        <v>0.80885300379765457</v>
      </c>
      <c r="AC95" s="5">
        <f>F95 - supply_chain_data_1[[#This Row],[Total_Costs]]</f>
        <v>3665.2382000000002</v>
      </c>
      <c r="AD95" s="5">
        <f t="shared" si="8"/>
        <v>4.7489912467835254</v>
      </c>
      <c r="AE95" s="5">
        <v>3707.8782999999999</v>
      </c>
    </row>
    <row r="96" spans="1:31" x14ac:dyDescent="0.25">
      <c r="A96" s="4" t="s">
        <v>45</v>
      </c>
      <c r="B96" s="4" t="s">
        <v>135</v>
      </c>
      <c r="C96" s="5">
        <v>3.0377000000000001</v>
      </c>
      <c r="D96" s="6">
        <v>97</v>
      </c>
      <c r="E96" s="6">
        <v>987</v>
      </c>
      <c r="F96" s="2">
        <v>7888.3564999999999</v>
      </c>
      <c r="G96" s="4" t="s">
        <v>32</v>
      </c>
      <c r="H96" s="6">
        <v>77</v>
      </c>
      <c r="I96" s="6">
        <v>26</v>
      </c>
      <c r="J96" s="6">
        <v>72</v>
      </c>
      <c r="K96" s="6">
        <v>9</v>
      </c>
      <c r="L96" s="4" t="s">
        <v>145</v>
      </c>
      <c r="M96" s="5">
        <v>6.9428999999999998</v>
      </c>
      <c r="N96" s="4" t="s">
        <v>155</v>
      </c>
      <c r="O96" s="4" t="s">
        <v>39</v>
      </c>
      <c r="P96" s="6">
        <v>12</v>
      </c>
      <c r="Q96" s="6">
        <v>908</v>
      </c>
      <c r="R96" s="6">
        <v>14</v>
      </c>
      <c r="S96" s="5">
        <v>60.3874</v>
      </c>
      <c r="T96" s="4" t="s">
        <v>51</v>
      </c>
      <c r="U96" s="1">
        <f>supply_chain_data_1[[#This Row],[Defect_rates2]]/100</f>
        <v>1.4636074984727798E-2</v>
      </c>
      <c r="V96">
        <v>1.4636074984727798</v>
      </c>
      <c r="W96" s="4" t="s">
        <v>37</v>
      </c>
      <c r="X96" s="4" t="s">
        <v>147</v>
      </c>
      <c r="Y96" s="5">
        <v>846.6653</v>
      </c>
      <c r="Z96" s="5">
        <f t="shared" si="6"/>
        <v>12.818181818181818</v>
      </c>
      <c r="AA96" s="5">
        <f t="shared" si="7"/>
        <v>913.99559999999997</v>
      </c>
      <c r="AB96" s="1">
        <f>IFERROR(supply_chain_data_1[[#This Row],[Actual_Profit]] / F96, 0)</f>
        <v>0.8841335834657067</v>
      </c>
      <c r="AC96" s="5">
        <f>F96 - supply_chain_data_1[[#This Row],[Total_Costs]]</f>
        <v>6974.3608999999997</v>
      </c>
      <c r="AD96" s="5">
        <f t="shared" si="8"/>
        <v>14.445806009926336</v>
      </c>
      <c r="AE96" s="5">
        <v>7041.6912000000002</v>
      </c>
    </row>
    <row r="97" spans="1:31" x14ac:dyDescent="0.25">
      <c r="A97" s="4" t="s">
        <v>22</v>
      </c>
      <c r="B97" s="4" t="s">
        <v>136</v>
      </c>
      <c r="C97" s="5">
        <v>77.903899999999993</v>
      </c>
      <c r="D97" s="6">
        <v>65</v>
      </c>
      <c r="E97" s="6">
        <v>672</v>
      </c>
      <c r="F97" s="2">
        <v>7386.3639000000003</v>
      </c>
      <c r="G97" s="4" t="s">
        <v>32</v>
      </c>
      <c r="H97" s="6">
        <v>15</v>
      </c>
      <c r="I97" s="6">
        <v>14</v>
      </c>
      <c r="J97" s="6">
        <v>26</v>
      </c>
      <c r="K97" s="6">
        <v>9</v>
      </c>
      <c r="L97" s="4" t="s">
        <v>145</v>
      </c>
      <c r="M97" s="5">
        <v>8.6303000000000001</v>
      </c>
      <c r="N97" s="4" t="s">
        <v>154</v>
      </c>
      <c r="O97" s="4" t="s">
        <v>25</v>
      </c>
      <c r="P97" s="6">
        <v>18</v>
      </c>
      <c r="Q97" s="6">
        <v>450</v>
      </c>
      <c r="R97" s="6">
        <v>26</v>
      </c>
      <c r="S97" s="5">
        <v>58.890700000000002</v>
      </c>
      <c r="T97" s="4" t="s">
        <v>26</v>
      </c>
      <c r="U97" s="1">
        <f>supply_chain_data_1[[#This Row],[Defect_rates2]]/100</f>
        <v>1.2108821295850664E-2</v>
      </c>
      <c r="V97">
        <v>1.2108821295850665</v>
      </c>
      <c r="W97" s="4" t="s">
        <v>33</v>
      </c>
      <c r="X97" s="4" t="s">
        <v>153</v>
      </c>
      <c r="Y97" s="5">
        <v>778.86419999999998</v>
      </c>
      <c r="Z97" s="5">
        <f t="shared" si="6"/>
        <v>44.8</v>
      </c>
      <c r="AA97" s="5">
        <f t="shared" si="7"/>
        <v>846.38519999999994</v>
      </c>
      <c r="AB97" s="1">
        <f>IFERROR(supply_chain_data_1[[#This Row],[Actual_Profit]] / F97, 0)</f>
        <v>0.88541246932066264</v>
      </c>
      <c r="AC97" s="5">
        <f>F97 - supply_chain_data_1[[#This Row],[Total_Costs]]</f>
        <v>6539.9787000000006</v>
      </c>
      <c r="AD97" s="5">
        <f t="shared" si="8"/>
        <v>8.1371279108116461</v>
      </c>
      <c r="AE97" s="5">
        <v>6607.4997000000003</v>
      </c>
    </row>
    <row r="98" spans="1:31" x14ac:dyDescent="0.25">
      <c r="A98" s="4" t="s">
        <v>45</v>
      </c>
      <c r="B98" s="4" t="s">
        <v>137</v>
      </c>
      <c r="C98" s="5">
        <v>24.423100000000002</v>
      </c>
      <c r="D98" s="6">
        <v>29</v>
      </c>
      <c r="E98" s="6">
        <v>324</v>
      </c>
      <c r="F98" s="2">
        <v>7698.4247999999998</v>
      </c>
      <c r="G98" s="4" t="s">
        <v>24</v>
      </c>
      <c r="H98" s="6">
        <v>67</v>
      </c>
      <c r="I98" s="6">
        <v>2</v>
      </c>
      <c r="J98" s="6">
        <v>32</v>
      </c>
      <c r="K98" s="6">
        <v>3</v>
      </c>
      <c r="L98" s="4" t="s">
        <v>151</v>
      </c>
      <c r="M98" s="5">
        <v>5.3529</v>
      </c>
      <c r="N98" s="4" t="s">
        <v>146</v>
      </c>
      <c r="O98" s="4" t="s">
        <v>25</v>
      </c>
      <c r="P98" s="6">
        <v>28</v>
      </c>
      <c r="Q98" s="6">
        <v>648</v>
      </c>
      <c r="R98" s="6">
        <v>28</v>
      </c>
      <c r="S98" s="5">
        <v>17.803799999999999</v>
      </c>
      <c r="T98" s="4" t="s">
        <v>26</v>
      </c>
      <c r="U98" s="1">
        <f>supply_chain_data_1[[#This Row],[Defect_rates2]]/100</f>
        <v>3.8720476814821332E-2</v>
      </c>
      <c r="V98">
        <v>3.8720476814821332</v>
      </c>
      <c r="W98" s="4" t="s">
        <v>27</v>
      </c>
      <c r="X98" s="4" t="s">
        <v>153</v>
      </c>
      <c r="Y98" s="5">
        <v>188.74209999999999</v>
      </c>
      <c r="Z98" s="5">
        <f t="shared" si="6"/>
        <v>4.8358208955223878</v>
      </c>
      <c r="AA98" s="5">
        <f t="shared" si="7"/>
        <v>211.89879999999999</v>
      </c>
      <c r="AB98" s="1">
        <f>IFERROR(supply_chain_data_1[[#This Row],[Actual_Profit]] / F98, 0)</f>
        <v>0.97247504450520839</v>
      </c>
      <c r="AC98" s="5">
        <f>F98 - supply_chain_data_1[[#This Row],[Total_Costs]]</f>
        <v>7486.5259999999998</v>
      </c>
      <c r="AD98" s="5">
        <f t="shared" si="8"/>
        <v>12.545434488002112</v>
      </c>
      <c r="AE98" s="5">
        <v>7509.6827000000003</v>
      </c>
    </row>
    <row r="99" spans="1:31" x14ac:dyDescent="0.25">
      <c r="A99" s="4" t="s">
        <v>22</v>
      </c>
      <c r="B99" s="4" t="s">
        <v>138</v>
      </c>
      <c r="C99" s="5">
        <v>3.5261</v>
      </c>
      <c r="D99" s="6">
        <v>56</v>
      </c>
      <c r="E99" s="6">
        <v>62</v>
      </c>
      <c r="F99" s="2">
        <v>4370.9165999999996</v>
      </c>
      <c r="G99" s="4" t="s">
        <v>43</v>
      </c>
      <c r="H99" s="6">
        <v>46</v>
      </c>
      <c r="I99" s="6">
        <v>19</v>
      </c>
      <c r="J99" s="6">
        <v>4</v>
      </c>
      <c r="K99" s="6">
        <v>9</v>
      </c>
      <c r="L99" s="4" t="s">
        <v>148</v>
      </c>
      <c r="M99" s="5">
        <v>7.9047999999999998</v>
      </c>
      <c r="N99" s="4" t="s">
        <v>154</v>
      </c>
      <c r="O99" s="4" t="s">
        <v>25</v>
      </c>
      <c r="P99" s="6">
        <v>10</v>
      </c>
      <c r="Q99" s="6">
        <v>535</v>
      </c>
      <c r="R99" s="6">
        <v>13</v>
      </c>
      <c r="S99" s="5">
        <v>65.765199999999993</v>
      </c>
      <c r="T99" s="4" t="s">
        <v>36</v>
      </c>
      <c r="U99" s="1">
        <f>supply_chain_data_1[[#This Row],[Defect_rates2]]/100</f>
        <v>3.3762378347179808E-2</v>
      </c>
      <c r="V99">
        <v>3.3762378347179811</v>
      </c>
      <c r="W99" s="4" t="s">
        <v>27</v>
      </c>
      <c r="X99" s="4" t="s">
        <v>153</v>
      </c>
      <c r="Y99" s="5">
        <v>540.13239999999996</v>
      </c>
      <c r="Z99" s="5">
        <f t="shared" si="6"/>
        <v>1.3478260869565217</v>
      </c>
      <c r="AA99" s="5">
        <f t="shared" si="7"/>
        <v>613.80239999999992</v>
      </c>
      <c r="AB99" s="1">
        <f>IFERROR(supply_chain_data_1[[#This Row],[Actual_Profit]] / F99, 0)</f>
        <v>0.859571239588511</v>
      </c>
      <c r="AC99" s="5">
        <f>F99 - supply_chain_data_1[[#This Row],[Total_Costs]]</f>
        <v>3757.1141999999995</v>
      </c>
      <c r="AD99" s="5">
        <f t="shared" si="8"/>
        <v>2.093267457525148</v>
      </c>
      <c r="AE99" s="5">
        <v>3830.7842000000001</v>
      </c>
    </row>
    <row r="100" spans="1:31" x14ac:dyDescent="0.25">
      <c r="A100" s="4" t="s">
        <v>28</v>
      </c>
      <c r="B100" s="4" t="s">
        <v>139</v>
      </c>
      <c r="C100" s="5">
        <v>19.7546</v>
      </c>
      <c r="D100" s="6">
        <v>43</v>
      </c>
      <c r="E100" s="6">
        <v>913</v>
      </c>
      <c r="F100" s="2">
        <v>8525.9526000000005</v>
      </c>
      <c r="G100" s="4" t="s">
        <v>30</v>
      </c>
      <c r="H100" s="6">
        <v>53</v>
      </c>
      <c r="I100" s="6">
        <v>1</v>
      </c>
      <c r="J100" s="6">
        <v>27</v>
      </c>
      <c r="K100" s="6">
        <v>7</v>
      </c>
      <c r="L100" s="4" t="s">
        <v>145</v>
      </c>
      <c r="M100" s="5">
        <v>1.4097999999999999</v>
      </c>
      <c r="N100" s="4" t="s">
        <v>152</v>
      </c>
      <c r="O100" s="4" t="s">
        <v>49</v>
      </c>
      <c r="P100" s="6">
        <v>28</v>
      </c>
      <c r="Q100" s="6">
        <v>581</v>
      </c>
      <c r="R100" s="6">
        <v>9</v>
      </c>
      <c r="S100" s="5">
        <v>5.6047000000000002</v>
      </c>
      <c r="T100" s="4" t="s">
        <v>26</v>
      </c>
      <c r="U100" s="1">
        <f>supply_chain_data_1[[#This Row],[Defect_rates2]]/100</f>
        <v>2.9081221693512613E-2</v>
      </c>
      <c r="V100">
        <v>2.9081221693512611</v>
      </c>
      <c r="W100" s="4" t="s">
        <v>37</v>
      </c>
      <c r="X100" s="4" t="s">
        <v>153</v>
      </c>
      <c r="Y100" s="5">
        <v>882.19889999999998</v>
      </c>
      <c r="Z100" s="5">
        <f t="shared" si="6"/>
        <v>17.226415094339622</v>
      </c>
      <c r="AA100" s="5">
        <f t="shared" si="7"/>
        <v>889.21339999999998</v>
      </c>
      <c r="AB100" s="1">
        <f>IFERROR(supply_chain_data_1[[#This Row],[Actual_Profit]] / F100, 0)</f>
        <v>0.89570509692957956</v>
      </c>
      <c r="AC100" s="5">
        <f>F100 - supply_chain_data_1[[#This Row],[Total_Costs]]</f>
        <v>7636.7392000000009</v>
      </c>
      <c r="AD100" s="5">
        <f t="shared" si="8"/>
        <v>26.551155406177017</v>
      </c>
      <c r="AE100" s="5">
        <v>7643.7537000000002</v>
      </c>
    </row>
    <row r="101" spans="1:31" x14ac:dyDescent="0.25">
      <c r="A101" s="4" t="s">
        <v>22</v>
      </c>
      <c r="B101" s="4" t="s">
        <v>140</v>
      </c>
      <c r="C101" s="5">
        <v>68.517799999999994</v>
      </c>
      <c r="D101" s="6">
        <v>17</v>
      </c>
      <c r="E101" s="6">
        <v>627</v>
      </c>
      <c r="F101" s="2">
        <v>9185.1857999999993</v>
      </c>
      <c r="G101" s="4" t="s">
        <v>32</v>
      </c>
      <c r="H101" s="6">
        <v>55</v>
      </c>
      <c r="I101" s="6">
        <v>8</v>
      </c>
      <c r="J101" s="6">
        <v>59</v>
      </c>
      <c r="K101" s="6">
        <v>6</v>
      </c>
      <c r="L101" s="4" t="s">
        <v>145</v>
      </c>
      <c r="M101" s="5">
        <v>1.3109999999999999</v>
      </c>
      <c r="N101" s="4" t="s">
        <v>155</v>
      </c>
      <c r="O101" s="4" t="s">
        <v>49</v>
      </c>
      <c r="P101" s="6">
        <v>29</v>
      </c>
      <c r="Q101" s="6">
        <v>921</v>
      </c>
      <c r="R101" s="6">
        <v>2</v>
      </c>
      <c r="S101" s="5">
        <v>38.072899999999997</v>
      </c>
      <c r="T101" s="4" t="s">
        <v>36</v>
      </c>
      <c r="U101" s="1">
        <f>supply_chain_data_1[[#This Row],[Defect_rates2]]/100</f>
        <v>3.4602729070550343E-3</v>
      </c>
      <c r="V101">
        <v>0.34602729070550342</v>
      </c>
      <c r="W101" s="4" t="s">
        <v>37</v>
      </c>
      <c r="X101" s="4" t="s">
        <v>147</v>
      </c>
      <c r="Y101" s="5">
        <v>210.74299999999999</v>
      </c>
      <c r="Z101" s="5">
        <f t="shared" si="6"/>
        <v>11.4</v>
      </c>
      <c r="AA101" s="5">
        <f t="shared" si="7"/>
        <v>250.12689999999998</v>
      </c>
      <c r="AB101" s="1">
        <f>IFERROR(supply_chain_data_1[[#This Row],[Actual_Profit]] / F101, 0)</f>
        <v>0.97276844416146713</v>
      </c>
      <c r="AC101" s="5">
        <f>F101 - supply_chain_data_1[[#This Row],[Total_Costs]]</f>
        <v>8935.0589</v>
      </c>
      <c r="AD101" s="5">
        <f t="shared" si="8"/>
        <v>2.1695911127235066</v>
      </c>
      <c r="AE101" s="5">
        <v>8974.4428000000007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D88BC5-9520-46B7-8C87-FF3D4EDC5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marwaali121317@gmail.com</dc:creator>
  <cp:lastModifiedBy>Mohamed Elsharkawy</cp:lastModifiedBy>
  <dcterms:created xsi:type="dcterms:W3CDTF">2026-04-28T21:48:02Z</dcterms:created>
  <dcterms:modified xsi:type="dcterms:W3CDTF">2026-05-08T21:37:27Z</dcterms:modified>
</cp:coreProperties>
</file>